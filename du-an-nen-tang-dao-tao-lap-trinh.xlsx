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Ý tưởng đã cân nhắc" sheetId="2" state="visible" r:id="rId4"/>
    <sheet name="Tổng quan" sheetId="3" state="visible" r:id="rId5"/>
    <sheet name="Công nghệ" sheetId="4" state="visible" r:id="rId6"/>
    <sheet name="Nghiệp vụ" sheetId="5" state="visible" r:id="rId7"/>
    <sheet name="Logic nghiệp vụ" sheetId="6" state="visible" r:id="rId8"/>
    <sheet name="Lộ trình" sheetId="7" state="visible" r:id="rId9"/>
    <sheet name="Checklist GĐ1" sheetId="8" state="visible" r:id="rId10"/>
    <sheet name="Hạ tầng" sheetId="9" state="visible" r:id="rId11"/>
    <sheet name="Kỹ thuật bổ sung" sheetId="10" state="visible" r:id="rId12"/>
    <sheet name="Lưu trữ dữ liệu" sheetId="11" state="visible" r:id="rId13"/>
    <sheet name="Cấu trúc code" sheetId="12" state="visible" r:id="rId14"/>
    <sheet name="Máy chủ" sheetId="13" state="visible" r:id="rId15"/>
    <sheet name="Cách làm" sheetId="14" state="visible" r:id="rId16"/>
    <sheet name="ADR" sheetId="15" state="visible" r:id="rId17"/>
    <sheet name="Lưu ý" sheetId="16" state="visible" r:id="rId18"/>
    <sheet name="Để sau" sheetId="17" state="visible" r:id="rId19"/>
  </sheets>
  <definedNames>
    <definedName function="false" hidden="true" localSheetId="14" name="_xlnm._FilterDatabase" vbProcedure="false">ADR!$A$4:$F$29</definedName>
    <definedName function="false" hidden="true" localSheetId="13" name="_xlnm._FilterDatabase" vbProcedure="false">'Cách làm'!$A$4:$D$11</definedName>
    <definedName function="false" hidden="true" localSheetId="7" name="_xlnm._FilterDatabase" vbProcedure="false">'Checklist GĐ1'!$A$4:$F$31</definedName>
    <definedName function="false" hidden="true" localSheetId="3" name="_xlnm._FilterDatabase" vbProcedure="false">'Công nghệ'!$A$4:$D$25</definedName>
    <definedName function="false" hidden="true" localSheetId="16" name="_xlnm._FilterDatabase" vbProcedure="false">'Để sau'!$A$4:$E$36</definedName>
    <definedName function="false" hidden="true" localSheetId="8" name="_xlnm._FilterDatabase" vbProcedure="false">'Hạ tầng'!$A$4:$F$22</definedName>
    <definedName function="false" hidden="true" localSheetId="9" name="_xlnm._FilterDatabase" vbProcedure="false">'Kỹ thuật bổ sung'!$A$3:$E$14</definedName>
    <definedName function="false" hidden="true" localSheetId="6" name="_xlnm._FilterDatabase" vbProcedure="false">'Lộ trình'!$A$4:$I$10</definedName>
    <definedName function="false" hidden="true" localSheetId="15" name="_xlnm._FilterDatabase" vbProcedure="false">'Lưu ý'!$A$4:$C$29</definedName>
    <definedName function="false" hidden="true" localSheetId="4" name="_xlnm._FilterDatabase" vbProcedure="false">'Nghiệp vụ'!$A$4:$C$20</definedName>
    <definedName function="false" hidden="true" localSheetId="1" name="_xlnm._FilterDatabase" vbProcedure="false">'Ý tưởng đã cân nhắc'!$A$4:$D$23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<sst xmlns="http://schemas.openxmlformats.org/spreadsheetml/2006/main" count="1548" uniqueCount="1064">
  <si>
    <t xml:space="preserve">DỰ ÁN: NỀN TẢNG ĐÀO TẠO LẬP TRÌNH ĐA NGƯỜI BÁN (.NET)</t>
  </si>
  <si>
    <t xml:space="preserve">Bản gộp ngày 13/10/2026 từ hai file: bản gốc của buổi brainstorm (nội dung chi tiết về lộ trình, dữ liệu, hạ tầng, máy chủ) và bản dựng lại (hướng dẫn, logic nghiệp vụ, checklist, trạng thái). Nội dung trùng được hợp nhất, giữ phần chi tiết hơn.</t>
  </si>
  <si>
    <t xml:space="preserve">Cách dùng file</t>
  </si>
  <si>
    <t xml:space="preserve">Ký hiệu</t>
  </si>
  <si>
    <t xml:space="preserve">Ý nghĩa</t>
  </si>
  <si>
    <t xml:space="preserve">Ô nền vàng</t>
  </si>
  <si>
    <t xml:space="preserve">Ô bạn được chỉnh hoặc điền: trạng thái, ghi chú, con số mục tiêu trong tiêu chí hoàn thành.</t>
  </si>
  <si>
    <t xml:space="preserve">Trạng thái công việc</t>
  </si>
  <si>
    <t xml:space="preserve">Lộ trình, Checklist GĐ1, Hạ tầng, Kỹ thuật bổ sung: Chưa bắt đầu / Đang làm / Hoàn thành / Tạm dừng. 'Hoàn thành' tự chuyển xanh lá.</t>
  </si>
  <si>
    <t xml:space="preserve">Trạng thái ADR</t>
  </si>
  <si>
    <t xml:space="preserve">Chưa viết / Đang viết / Đã viết / Đã thay thế.</t>
  </si>
  <si>
    <t xml:space="preserve">Trạng thái file</t>
  </si>
  <si>
    <t xml:space="preserve">Tab Cấu trúc code: Đã tạo / Chưa tạo, cho biết đường dẫn đã có trong repo chưa.</t>
  </si>
  <si>
    <t xml:space="preserve">Tiến độ</t>
  </si>
  <si>
    <t xml:space="preserve">Cuối các tab có trạng thái đều tự đếm số mục hoàn thành và tính phần trăm.</t>
  </si>
  <si>
    <t xml:space="preserve">(đề xuất)</t>
  </si>
  <si>
    <t xml:space="preserve">Phương án đã thống nhất trong buổi brainstorm. Bạn vẫn phải tự viết ADR để giải thích lý do.</t>
  </si>
  <si>
    <t xml:space="preserve">Con số mục tiêu</t>
  </si>
  <si>
    <t xml:space="preserve">50 bài nộp đồng thời, 1.000 thí sinh... chỉ là mục tiêu gợi ý, chỉnh theo thực tế.</t>
  </si>
  <si>
    <t xml:space="preserve">Mục lục</t>
  </si>
  <si>
    <t xml:space="preserve">Tab</t>
  </si>
  <si>
    <t xml:space="preserve">Nội dung</t>
  </si>
  <si>
    <t xml:space="preserve">Ý tưởng đã cân nhắc</t>
  </si>
  <si>
    <t xml:space="preserve">Hành trình từ các ý tưởng ban đầu tới lựa chọn cuối cùng</t>
  </si>
  <si>
    <t xml:space="preserve">Tổng quan</t>
  </si>
  <si>
    <t xml:space="preserve">Dự án được chốt: ba nhóm người dùng, ERP mini, phương án thay thế</t>
  </si>
  <si>
    <t xml:space="preserve">Công nghệ</t>
  </si>
  <si>
    <t xml:space="preserve">Từng công nghệ dùng cho việc gì, bắt đầu từ giai đoạn nào</t>
  </si>
  <si>
    <t xml:space="preserve">Nghiệp vụ</t>
  </si>
  <si>
    <t xml:space="preserve">Các mảng nghiệp vụ sâu: marketplace, kế toán thuế, ERP trung tâm, chấm bài</t>
  </si>
  <si>
    <t xml:space="preserve">Logic nghiệp vụ</t>
  </si>
  <si>
    <t xml:space="preserve">Phân biệt logic nghiệp vụ và logic kỹ thuật, logic nằm ở tầng nào, các Policy</t>
  </si>
  <si>
    <t xml:space="preserve">Lộ trình</t>
  </si>
  <si>
    <t xml:space="preserve">6 giai đoạn: hệ thống, hạ tầng, kỹ thuật bổ sung, tiêu chí hoàn thành, demo</t>
  </si>
  <si>
    <t xml:space="preserve">Checklist GĐ1</t>
  </si>
  <si>
    <t xml:space="preserve">Việc cụ thể của giai đoạn 1, làm theo thứ tự, có trạng thái và ghi chú bài học</t>
  </si>
  <si>
    <t xml:space="preserve">Hạ tầng</t>
  </si>
  <si>
    <t xml:space="preserve">CI/CD, observability, video, bảo mật, gateway, Kubernetes, IaC, load test</t>
  </si>
  <si>
    <t xml:space="preserve">Kỹ thuật bổ sung</t>
  </si>
  <si>
    <t xml:space="preserve">Kiểm thử, tài liệu API, tìm kiếm, thông báo, thanh toán, bảo mật, Nghị định 13</t>
  </si>
  <si>
    <t xml:space="preserve">Lưu trữ dữ liệu</t>
  </si>
  <si>
    <t xml:space="preserve">Dữ liệu nào lưu ở đâu, tổ chức dữ liệu, chạy ở đâu theo giai đoạn</t>
  </si>
  <si>
    <t xml:space="preserve">Cấu trúc code</t>
  </si>
  <si>
    <t xml:space="preserve">Cấu trúc repo (kèm trạng thái đã tạo), bên trong một module, 8 luật phụ thuộc</t>
  </si>
  <si>
    <t xml:space="preserve">Máy chủ</t>
  </si>
  <si>
    <t xml:space="preserve">Laptop, GitHub, PC ở nhà, VPS; bảo mật PC; cấu hình hiện tại và ước tính RAM</t>
  </si>
  <si>
    <t xml:space="preserve">Cách làm</t>
  </si>
  <si>
    <t xml:space="preserve">Sơ đồ C4, ADR, tiêu chí hoàn thành, người dùng thật, kiểm soát phạm vi</t>
  </si>
  <si>
    <t xml:space="preserve">ADR</t>
  </si>
  <si>
    <t xml:space="preserve">25 quyết định kiến trúc cần viết, kèm tên file gợi ý</t>
  </si>
  <si>
    <t xml:space="preserve">Lưu ý</t>
  </si>
  <si>
    <t xml:space="preserve">Các bẫy kỹ thuật, đừng làm quá sớm, chi phí pháp lý, cách làm việc, bài học thực tế</t>
  </si>
  <si>
    <t xml:space="preserve">Để sau</t>
  </si>
  <si>
    <t xml:space="preserve">Nơi ghi ý tưởng mới thay vì làm ngay</t>
  </si>
  <si>
    <t xml:space="preserve">Ý TƯỞNG ĐÃ CÂN NHẮC</t>
  </si>
  <si>
    <t xml:space="preserve">Các vòng brainstorm, từ dự án lớn thông thường tới tầm nền tảng, rồi tới hướng nặng nghiệp vụ, trước khi chốt.</t>
  </si>
  <si>
    <t xml:space="preserve">Vòng</t>
  </si>
  <si>
    <t xml:space="preserve">Ý tưởng</t>
  </si>
  <si>
    <t xml:space="preserve">Điểm chính</t>
  </si>
  <si>
    <t xml:space="preserve">Kết quả</t>
  </si>
  <si>
    <t xml:space="preserve">Vòng 1: Dự án lớn</t>
  </si>
  <si>
    <t xml:space="preserve">Thương mại điện tử đa người bán</t>
  </si>
  <si>
    <t xml:space="preserve">Microservices, Aspire, gRPC, MassTransit + RabbitMQ, YARP, Redis, Blazor, MAUI.</t>
  </si>
  <si>
    <t xml:space="preserve">Gộp vào dự án chốt</t>
  </si>
  <si>
    <t xml:space="preserve">ERP cho SME (multi-tenant)</t>
  </si>
  <si>
    <t xml:space="preserve">Kho, bán hàng, nhân sự, kế toán; Clean Architecture + CQRS, EF Core multi-tenant, Keycloak, báo cáo PDF/Excel.</t>
  </si>
  <si>
    <t xml:space="preserve">Quản lý phòng khám / bệnh viện</t>
  </si>
  <si>
    <t xml:space="preserve">Đặt lịch, bệnh án, kê đơn, SignalR, chuẩn FHIR (Firely).</t>
  </si>
  <si>
    <t xml:space="preserve">Phương án thay thế</t>
  </si>
  <si>
    <t xml:space="preserve">LMS + chấm bài tự động</t>
  </si>
  <si>
    <t xml:space="preserve">Chấm code trong Docker cô lập, Hangfire/Quartz.NET, xếp hạng real-time.</t>
  </si>
  <si>
    <t xml:space="preserve">Cộng tác thời gian thực (kiểu Slack/Trello)</t>
  </si>
  <si>
    <t xml:space="preserve">SignalR, Redis backplane, Blazor WASM, MAUI.</t>
  </si>
  <si>
    <t xml:space="preserve">Không chọn</t>
  </si>
  <si>
    <t xml:space="preserve">Game server nhiều người chơi</t>
  </si>
  <si>
    <t xml:space="preserve">Microsoft Orleans (virtual actor), client Unity.</t>
  </si>
  <si>
    <t xml:space="preserve">Trợ lý AI tra cứu tài liệu (RAG)</t>
  </si>
  <si>
    <t xml:space="preserve">Semantic Kernel / Microsoft.Extensions.AI, pgvector hoặc Qdrant.</t>
  </si>
  <si>
    <t xml:space="preserve">IoT nông nghiệp</t>
  </si>
  <si>
    <t xml:space="preserve">MQTTnet, database chuỗi thời gian, Blazor, ML.NET.</t>
  </si>
  <si>
    <t xml:space="preserve">Vòng 2: Tầm nền tảng</t>
  </si>
  <si>
    <t xml:space="preserve">Super app (gọi xe + đồ ăn + ví)</t>
  </si>
  <si>
    <t xml:space="preserve">Geohash, Redis GEO, Kafka, Saga, sổ cái kép, 3 app MAUI. Quá rộng cho một người.</t>
  </si>
  <si>
    <t xml:space="preserve">Sàn giao dịch chứng khoán / tài sản số</t>
  </si>
  <si>
    <t xml:space="preserve">Matching engine hiệu năng cao (Span, lock-free), event sourcing, WebSocket, đối soát.</t>
  </si>
  <si>
    <t xml:space="preserve">Cân nhắc kỹ</t>
  </si>
  <si>
    <t xml:space="preserve">SaaS kiểu Shopify/Haravan</t>
  </si>
  <si>
    <t xml:space="preserve">Tên miền riêng, SSL tự động, theme engine, plugin, billing, hàng nghìn tenant.</t>
  </si>
  <si>
    <t xml:space="preserve">Video và livestream</t>
  </si>
  <si>
    <t xml:space="preserve">Chunked upload, FFmpeg sang HLS, RTMP, chat SignalR, Elasticsearch.</t>
  </si>
  <si>
    <t xml:space="preserve">Một phần (video) gộp vào</t>
  </si>
  <si>
    <t xml:space="preserve">PaaS tự host (Heroku mini)</t>
  </si>
  <si>
    <t xml:space="preserve">Tự build image, deploy Kubernetes, domain, log, tự scale.</t>
  </si>
  <si>
    <t xml:space="preserve">Mạng xã hội quy mô lớn</t>
  </si>
  <si>
    <t xml:space="preserve">News feed fan-out, đồ thị quan hệ, kiểm duyệt AI.</t>
  </si>
  <si>
    <t xml:space="preserve">Tự viết hạ tầng lõi</t>
  </si>
  <si>
    <t xml:space="preserve">Message broker, database KV có WAL + Raft, search engine.</t>
  </si>
  <si>
    <t xml:space="preserve">Vòng 3: Kết hợp sâu + hạ tầng</t>
  </si>
  <si>
    <t xml:space="preserve">Nền tảng algo trading (kiểu QuantConnect)</t>
  </si>
  <si>
    <t xml:space="preserve">Sàn + PaaS chạy bot: Roslyn, sandbox, backtest tất định. Tham khảo LEAN.</t>
  </si>
  <si>
    <t xml:space="preserve">Serverless C#, CI/CD tự xây, online judge, game server + Agones, DBaaS</t>
  </si>
  <si>
    <t xml:space="preserve">Các phương án cùng kiểu vừa sâu vừa nặng hạ tầng.</t>
  </si>
  <si>
    <t xml:space="preserve">Online judge gộp vào</t>
  </si>
  <si>
    <t xml:space="preserve">Vòng 4: Nặng nghiệp vụ</t>
  </si>
  <si>
    <t xml:space="preserve">Core banking, bảo hiểm, kế toán + hóa đơn điện tử, ERP sản xuất, tính lương</t>
  </si>
  <si>
    <t xml:space="preserve">Hướng DDD: nghiệp vụ thật theo luật Việt Nam (Thông tư 200/133, 78, BHXH, thuế TNCN).</t>
  </si>
  <si>
    <t xml:space="preserve">Kế toán, lương gộp vào</t>
  </si>
  <si>
    <t xml:space="preserve">CHỐT</t>
  </si>
  <si>
    <t xml:space="preserve">Nền tảng đào tạo lập trình đa người bán</t>
  </si>
  <si>
    <t xml:space="preserve">Udemy + Codeforces + phần mềm quản lý trung tâm. Gom gần đủ công nghệ của bốn hướng và vẫn sâu nghiệp vụ.</t>
  </si>
  <si>
    <t xml:space="preserve">ĐÃ CHỌN</t>
  </si>
  <si>
    <t xml:space="preserve">TỔNG QUAN DỰ ÁN</t>
  </si>
  <si>
    <t xml:space="preserve">Dự án được chốt</t>
  </si>
  <si>
    <t xml:space="preserve">Mục</t>
  </si>
  <si>
    <t xml:space="preserve">Tên làm việc</t>
  </si>
  <si>
    <t xml:space="preserve">DevAcademy: nền tảng đào tạo lập trình đa người bán</t>
  </si>
  <si>
    <t xml:space="preserve">Mô hình</t>
  </si>
  <si>
    <t xml:space="preserve">Udemy (bán khóa học) + Codeforces (chấm code, thi) + phần mềm quản lý trung tâm (ERP mini multi-tenant).</t>
  </si>
  <si>
    <t xml:space="preserve">Người làm</t>
  </si>
  <si>
    <t xml:space="preserve">Một mình, nhiều thời gian. Phạm vi hiện tại đủ cho khoảng 1–2 năm.</t>
  </si>
  <si>
    <t xml:space="preserve">Mục tiêu</t>
  </si>
  <si>
    <t xml:space="preserve">Học sâu .NET: hệ thống, hạ tầng và nghiệp vụ trong cùng một dự án; có giá trị khi đưa vào CV.</t>
  </si>
  <si>
    <t xml:space="preserve">Nguyên tắc kiến trúc</t>
  </si>
  <si>
    <t xml:space="preserve">Bắt đầu bằng modular monolith, chỉ tách microservices ở giai đoạn 5 khi ranh giới nghiệp vụ đã rõ.</t>
  </si>
  <si>
    <t xml:space="preserve">Nguyên tắc phạm vi</t>
  </si>
  <si>
    <t xml:space="preserve">Dừng mở rộng ở đây. Ý mới ghi vào tab 'Để sau', bắt tay vào giai đoạn 1.</t>
  </si>
  <si>
    <t xml:space="preserve">Ba nhóm người dùng</t>
  </si>
  <si>
    <t xml:space="preserve">Nhóm</t>
  </si>
  <si>
    <t xml:space="preserve">Làm gì trên nền tảng</t>
  </si>
  <si>
    <t xml:space="preserve">Giảng viên / trung tâm (người bán)</t>
  </si>
  <si>
    <t xml:space="preserve">Đăng khóa học, ra đề bài, quản lý học viên, nhận doanh thu. Mỗi trung tâm có ERP mini riêng: lớp, nhân sự, lương giảng viên, doanh thu.</t>
  </si>
  <si>
    <t xml:space="preserve">Học viên</t>
  </si>
  <si>
    <t xml:space="preserve">Mua khóa học, học, nộp code, thi.</t>
  </si>
  <si>
    <t xml:space="preserve">Chủ nền tảng (bạn)</t>
  </si>
  <si>
    <t xml:space="preserve">Thu phí hoa hồng, đối soát, chi trả cho người bán.</t>
  </si>
  <si>
    <t xml:space="preserve">Phương án</t>
  </si>
  <si>
    <t xml:space="preserve">Mô tả</t>
  </si>
  <si>
    <t xml:space="preserve">SaaS cho chuỗi phòng khám</t>
  </si>
  <si>
    <t xml:space="preserve">Đặt lịch đa phòng khám (marketplace), ERP phòng khám (kho thuốc, lương bác sĩ), FHIR cho bệnh án, BHYT. Nhược điểm: Docker sandbox khó có chỗ dùng tự nhiên.</t>
  </si>
  <si>
    <t xml:space="preserve">CÔNG NGHỆ</t>
  </si>
  <si>
    <t xml:space="preserve">Mỗi công nghệ dùng cho việc gì và bắt đầu dùng từ giai đoạn nào.</t>
  </si>
  <si>
    <t xml:space="preserve">Dùng cho</t>
  </si>
  <si>
    <t xml:space="preserve">Giai đoạn</t>
  </si>
  <si>
    <t xml:space="preserve">Nền tảng</t>
  </si>
  <si>
    <t xml:space="preserve">.NET 10 (LTS)</t>
  </si>
  <si>
    <t xml:space="preserve">Phiên bản hỗ trợ dài hạn. Cần Visual Studio 2026 (VS 2022 không mở được project .NET 10). global.json đặt phiên bản tối thiểu 10.0.100 + rollForward latestFeature.</t>
  </si>
  <si>
    <t xml:space="preserve">1</t>
  </si>
  <si>
    <t xml:space="preserve">.NET Aspire</t>
  </si>
  <si>
    <t xml:space="preserve">Điều phối toàn bộ service, môi trường dev chỉ một lệnh, dashboard theo dõi khi phát triển.</t>
  </si>
  <si>
    <t xml:space="preserve">Kiến trúc</t>
  </si>
  <si>
    <t xml:space="preserve">Clean Architecture + CQRS (MediatR)</t>
  </si>
  <si>
    <t xml:space="preserve">Cấu trúc từng module: Domain, Application (chia theo tính năng), Infrastructure, Api, Contracts.</t>
  </si>
  <si>
    <t xml:space="preserve">NetArchTest / ArchUnitNET</t>
  </si>
  <si>
    <t xml:space="preserve">Kiểm tra tự động luật phụ thuộc giữa các module trong CI.</t>
  </si>
  <si>
    <t xml:space="preserve">Gateway</t>
  </si>
  <si>
    <t xml:space="preserve">YARP</t>
  </si>
  <si>
    <t xml:space="preserve">API Gateway: một cửa vào duy nhất, định tuyến theo đường dẫn và tên miền tenant, xác thực tập trung, rate limit; sau này tách theo loại client (BFF). Không chứa logic nghiệp vụ; giao tiếp nội bộ giữa service không đi qua gateway.</t>
  </si>
  <si>
    <t xml:space="preserve">Dữ liệu</t>
  </si>
  <si>
    <t xml:space="preserve">PostgreSQL</t>
  </si>
  <si>
    <t xml:space="preserve">Cơ sở dữ liệu chính: dữ liệu nghiệp vụ, sổ cái, bài nộp, job Hangfire, nhật ký kiểm toán. Có phân vùng bảng và row-level security.</t>
  </si>
  <si>
    <t xml:space="preserve">EF Core multi-tenant</t>
  </si>
  <si>
    <t xml:space="preserve">Mỗi module một DbContext/schema; dữ liệu trung tâm tách bằng TenantId + row-level security (hoặc schema riêng).</t>
  </si>
  <si>
    <t xml:space="preserve">Redis</t>
  </si>
  <si>
    <t xml:space="preserve">Giỏ hàng, cache, bảng xếp hạng (sorted set), rate limit.</t>
  </si>
  <si>
    <t xml:space="preserve">MinIO</t>
  </si>
  <si>
    <t xml:space="preserve">Lưu file tương thích S3: video, ảnh, tài liệu, bộ test, chứng chỉ PDF, backup.</t>
  </si>
  <si>
    <t xml:space="preserve">2</t>
  </si>
  <si>
    <t xml:space="preserve">Meilisearch</t>
  </si>
  <si>
    <t xml:space="preserve">Chỉ mục tìm kiếm khóa học và bài tập; nhẹ hơn Elasticsearch.</t>
  </si>
  <si>
    <t xml:space="preserve">4</t>
  </si>
  <si>
    <t xml:space="preserve">Xác thực</t>
  </si>
  <si>
    <t xml:space="preserve">Keycloak (hoặc ASP.NET Core Identity)</t>
  </si>
  <si>
    <t xml:space="preserve">Đăng nhập, phân quyền nhiều tầng: admin nền tảng, chủ trung tâm, giảng viên, trợ giảng, học viên.</t>
  </si>
  <si>
    <t xml:space="preserve">Real-time</t>
  </si>
  <si>
    <t xml:space="preserve">SignalR</t>
  </si>
  <si>
    <t xml:space="preserve">Bảng xếp hạng kỳ thi real-time, thông báo, kết quả chấm trả về ngay.</t>
  </si>
  <si>
    <t xml:space="preserve">Chấm bài</t>
  </si>
  <si>
    <t xml:space="preserve">Docker sandbox (Docker.DotNet)</t>
  </si>
  <si>
    <t xml:space="preserve">Service chấm code điều khiển Docker Engine trực tiếp từ C#.</t>
  </si>
  <si>
    <t xml:space="preserve">Job nền</t>
  </si>
  <si>
    <t xml:space="preserve">Hangfire / Quartz.NET</t>
  </si>
  <si>
    <t xml:space="preserve">Xếp hàng bài chấm, đối soát hằng ngày, chi trả định kỳ cho người bán, nhắc lịch học, xuất báo cáo.</t>
  </si>
  <si>
    <t xml:space="preserve">Video</t>
  </si>
  <si>
    <t xml:space="preserve">FFmpeg</t>
  </si>
  <si>
    <t xml:space="preserve">Chuyển mã video bài học sang HLS nhiều độ phân giải.</t>
  </si>
  <si>
    <t xml:space="preserve">Tài liệu</t>
  </si>
  <si>
    <t xml:space="preserve">PDF / Excel</t>
  </si>
  <si>
    <t xml:space="preserve">Hóa đơn, chứng chỉ hoàn thành khóa học, báo cáo doanh thu, bảng lương.</t>
  </si>
  <si>
    <t xml:space="preserve">3</t>
  </si>
  <si>
    <t xml:space="preserve">Giao tiếp</t>
  </si>
  <si>
    <t xml:space="preserve">MassTransit + RabbitMQ</t>
  </si>
  <si>
    <t xml:space="preserve">Sự kiện bất đồng bộ: thanh toán xong thì mở khóa học, chấm xong thì cập nhật điểm, saga cho luồng đặt mua.</t>
  </si>
  <si>
    <t xml:space="preserve">5</t>
  </si>
  <si>
    <t xml:space="preserve">gRPC</t>
  </si>
  <si>
    <t xml:space="preserve">Giao tiếp nội bộ cần nhanh: gọi service chấm bài, kiểm tra quyền truy cập khóa học.</t>
  </si>
  <si>
    <t xml:space="preserve">Giao diện</t>
  </si>
  <si>
    <t xml:space="preserve">Blazor</t>
  </si>
  <si>
    <t xml:space="preserve">Trang quản trị nền tảng và trang quản lý của trung tâm.</t>
  </si>
  <si>
    <t xml:space="preserve">.NET MAUI</t>
  </si>
  <si>
    <t xml:space="preserve">App học viên: học, xem điểm, nhận thông báo kỳ thi.</t>
  </si>
  <si>
    <t xml:space="preserve">6</t>
  </si>
  <si>
    <t xml:space="preserve">Không dùng</t>
  </si>
  <si>
    <t xml:space="preserve">FHIR</t>
  </si>
  <si>
    <t xml:space="preserve">Chỉ dành cho y tế; chỉ dùng nếu chọn phương án phòng khám.</t>
  </si>
  <si>
    <t xml:space="preserve">—</t>
  </si>
  <si>
    <t xml:space="preserve">NGHIỆP VỤ</t>
  </si>
  <si>
    <t xml:space="preserve">Phần nghiệp vụ sâu, là chỗ dự án khác biệt so với một dự án CRUD.</t>
  </si>
  <si>
    <t xml:space="preserve">Mảng</t>
  </si>
  <si>
    <t xml:space="preserve">Marketplace</t>
  </si>
  <si>
    <t xml:space="preserve">Chia doanh thu</t>
  </si>
  <si>
    <t xml:space="preserve">Theo tỷ lệ hoa hồng giữa nền tảng và người bán.</t>
  </si>
  <si>
    <t xml:space="preserve">Mã giảm giá</t>
  </si>
  <si>
    <t xml:space="preserve">Do nền tảng chịu hoặc do người bán chịu, ảnh hưởng khác nhau tới phần chia.</t>
  </si>
  <si>
    <t xml:space="preserve">Hoàn tiền</t>
  </si>
  <si>
    <t xml:space="preserve">Trong thời hạn quy định, có điều kiện (ví dụ chưa học quá 30%).</t>
  </si>
  <si>
    <t xml:space="preserve">Giữ tiền (escrow)</t>
  </si>
  <si>
    <t xml:space="preserve">Giữ doanh thu một thời gian trước khi chi trả cho người bán.</t>
  </si>
  <si>
    <t xml:space="preserve">Đối soát cổng thanh toán</t>
  </si>
  <si>
    <t xml:space="preserve">So khớp giao dịch nội bộ với dữ liệu của cổng thanh toán.</t>
  </si>
  <si>
    <t xml:space="preserve">Kế toán và thuế</t>
  </si>
  <si>
    <t xml:space="preserve">Thuế TNCN giảng viên</t>
  </si>
  <si>
    <t xml:space="preserve">Khấu trừ thuế cho giảng viên cá nhân khi chi trả.</t>
  </si>
  <si>
    <t xml:space="preserve">Hóa đơn điện tử</t>
  </si>
  <si>
    <t xml:space="preserve">Xuất hóa đơn theo quy định.</t>
  </si>
  <si>
    <t xml:space="preserve">Sổ cái kế toán kép</t>
  </si>
  <si>
    <t xml:space="preserve">Ghi nhận toàn bộ dòng tiền của nền tảng.</t>
  </si>
  <si>
    <t xml:space="preserve">ERP trung tâm</t>
  </si>
  <si>
    <t xml:space="preserve">Xếp lịch lớp và phòng</t>
  </si>
  <si>
    <t xml:space="preserve">Không trùng phòng, không trùng giảng viên.</t>
  </si>
  <si>
    <t xml:space="preserve">Chấm công giảng viên</t>
  </si>
  <si>
    <t xml:space="preserve">Theo buổi dạy thực tế.</t>
  </si>
  <si>
    <t xml:space="preserve">Tính lương</t>
  </si>
  <si>
    <t xml:space="preserve">Theo buổi dạy hoặc theo doanh thu, tùy trung tâm.</t>
  </si>
  <si>
    <t xml:space="preserve">Học phí</t>
  </si>
  <si>
    <t xml:space="preserve">Trả góp, bảo lưu, chuyển lớp.</t>
  </si>
  <si>
    <t xml:space="preserve">Đo tài nguyên công bằng</t>
  </si>
  <si>
    <t xml:space="preserve">Thời gian và bộ nhớ chạy bài.</t>
  </si>
  <si>
    <t xml:space="preserve">Nhiều ngôn ngữ</t>
  </si>
  <si>
    <t xml:space="preserve">C#, Python, C++ trước, mở rộng sau.</t>
  </si>
  <si>
    <t xml:space="preserve">Chống đạo code</t>
  </si>
  <si>
    <t xml:space="preserve">So sánh cây cú pháp.</t>
  </si>
  <si>
    <t xml:space="preserve">Xếp hạng Elo, kỳ thi</t>
  </si>
  <si>
    <t xml:space="preserve">Kỳ thi có giới hạn thời gian, bảng xếp hạng real-time.</t>
  </si>
  <si>
    <t xml:space="preserve">LOGIC NGHIỆP VỤ (BUSINESS LOGIC)</t>
  </si>
  <si>
    <t xml:space="preserve">Mẹo phân biệt: tưởng tượng trung tâm chạy bằng giấy bút. Quy tắc nào vẫn còn là logic nghiệp vụ, quy tắc nào biến mất là logic kỹ thuật.</t>
  </si>
  <si>
    <t xml:space="preserve">Ví dụ phân biệt</t>
  </si>
  <si>
    <t xml:space="preserve">Tình huống</t>
  </si>
  <si>
    <t xml:space="preserve">Logic nghiệp vụ (vẫn có khi dùng giấy bút)</t>
  </si>
  <si>
    <t xml:space="preserve">Logic kỹ thuật (chỉ có vì dùng phần mềm)</t>
  </si>
  <si>
    <t xml:space="preserve">Đăng bán khóa học</t>
  </si>
  <si>
    <t xml:space="preserve">Khóa học phải có ít nhất một bài học mới được bán</t>
  </si>
  <si>
    <t xml:space="preserve">Lưu khóa học vào PostgreSQL</t>
  </si>
  <si>
    <t xml:space="preserve">Hoàn tiền nếu mua chưa quá 7 ngày và học chưa quá 30%</t>
  </si>
  <si>
    <t xml:space="preserve">Nhận callback VNPay, chống gọi trùng</t>
  </si>
  <si>
    <t xml:space="preserve">Nền tảng giữ 30%, giảng viên nhận 70%</t>
  </si>
  <si>
    <t xml:space="preserve">Gửi sự kiện qua RabbitMQ</t>
  </si>
  <si>
    <t xml:space="preserve">Thuế</t>
  </si>
  <si>
    <t xml:space="preserve">Khấu trừ 10% thuế TNCN khi trả giảng viên trên 2 triệu đồng</t>
  </si>
  <si>
    <t xml:space="preserve">Cache trang khóa học vào Redis</t>
  </si>
  <si>
    <t xml:space="preserve">Xếp lịch</t>
  </si>
  <si>
    <t xml:space="preserve">Giảng viên không dạy hai lớp trùng giờ</t>
  </si>
  <si>
    <t xml:space="preserve">Chạy job đối soát lúc 2 giờ sáng bằng Hangfire</t>
  </si>
  <si>
    <t xml:space="preserve">Nộp bài</t>
  </si>
  <si>
    <t xml:space="preserve">Bài nộp quá hạn không được tính điểm</t>
  </si>
  <si>
    <t xml:space="preserve">Chạy code trong container có giới hạn RAM</t>
  </si>
  <si>
    <t xml:space="preserve">Bảo lưu</t>
  </si>
  <si>
    <t xml:space="preserve">Học viên bảo lưu tối đa 2 lần</t>
  </si>
  <si>
    <t xml:space="preserve">Kiểm tra token đăng nhập ở gateway</t>
  </si>
  <si>
    <t xml:space="preserve">Logic nào nằm ở tầng nào</t>
  </si>
  <si>
    <t xml:space="preserve">Tầng</t>
  </si>
  <si>
    <t xml:space="preserve">Chứa gì</t>
  </si>
  <si>
    <t xml:space="preserve">Không được chứa</t>
  </si>
  <si>
    <t xml:space="preserve">Domain</t>
  </si>
  <si>
    <t xml:space="preserve">Quy tắc nghiệp vụ: điều kiện, tính toán, trạng thái hợp lệ</t>
  </si>
  <si>
    <t xml:space="preserve">Database, HTTP, gửi email, gọi API ngoài</t>
  </si>
  <si>
    <t xml:space="preserve">Application</t>
  </si>
  <si>
    <t xml:space="preserve">Điều phối use case: lấy dữ liệu, gọi Domain, lưu, phát sự kiện</t>
  </si>
  <si>
    <t xml:space="preserve">Câu if mang ý nghĩa nghiệp vụ</t>
  </si>
  <si>
    <t xml:space="preserve">Infrastructure</t>
  </si>
  <si>
    <t xml:space="preserve">Kỹ thuật: EF Core, cổng thanh toán, Docker, email</t>
  </si>
  <si>
    <t xml:space="preserve">Bất kỳ quy tắc nghiệp vụ nào</t>
  </si>
  <si>
    <t xml:space="preserve">Api</t>
  </si>
  <si>
    <t xml:space="preserve">Nhận request, trả response</t>
  </si>
  <si>
    <t xml:space="preserve">Logic</t>
  </si>
  <si>
    <t xml:space="preserve">Các dạng bên trong Domain</t>
  </si>
  <si>
    <t xml:space="preserve">Dạng</t>
  </si>
  <si>
    <t xml:space="preserve">Vai trò</t>
  </si>
  <si>
    <t xml:space="preserve">Ví dụ</t>
  </si>
  <si>
    <t xml:space="preserve">Entity / Aggregate</t>
  </si>
  <si>
    <t xml:space="preserve">Tự bảo vệ quy tắc của mình. Handler gọi hành vi (course.Publish()), không tự sửa thuộc tính.</t>
  </si>
  <si>
    <t xml:space="preserve">Course.Publish() chỉ cho xuất bản khi đang nháp và có ít nhất một bài học</t>
  </si>
  <si>
    <t xml:space="preserve">Value Object</t>
  </si>
  <si>
    <t xml:space="preserve">Khái niệm có quy tắc riêng, kiểm tra một lần lúc tạo.</t>
  </si>
  <si>
    <t xml:space="preserve">Money, CommissionRate (0–100%), TimeLimit</t>
  </si>
  <si>
    <t xml:space="preserve">Policy</t>
  </si>
  <si>
    <t xml:space="preserve">Quy tắc hay thay đổi hoặc có nhiều biến thể. Tham số lưu trong database kèm ngày hiệu lực.</t>
  </si>
  <si>
    <t xml:space="preserve">Đổi thuế từ ngày X: thêm dòng cấu hình mới, kỳ cũ vẫn tính theo quy định cũ</t>
  </si>
  <si>
    <t xml:space="preserve">Domain Service</t>
  </si>
  <si>
    <t xml:space="preserve">Logic liên quan nhiều aggregate.</t>
  </si>
  <si>
    <t xml:space="preserve">Xếp lịch lớp (phòng + giảng viên + lịch trống), tính Elo sau kỳ thi</t>
  </si>
  <si>
    <t xml:space="preserve">Domain Event</t>
  </si>
  <si>
    <t xml:space="preserve">Báo chuyện nghiệp vụ đã xảy ra; phần phản ứng nằm nơi khác.</t>
  </si>
  <si>
    <t xml:space="preserve">CoursePublished, SubmissionJudged, RefundApproved</t>
  </si>
  <si>
    <t xml:space="preserve">Policy cần có theo module</t>
  </si>
  <si>
    <t xml:space="preserve">Module</t>
  </si>
  <si>
    <t xml:space="preserve">Quy tắc</t>
  </si>
  <si>
    <t xml:space="preserve">Ordering</t>
  </si>
  <si>
    <t xml:space="preserve">ICommissionPolicy</t>
  </si>
  <si>
    <t xml:space="preserve">Chia doanh thu giữa nền tảng và giảng viên</t>
  </si>
  <si>
    <t xml:space="preserve">IRefundPolicy</t>
  </si>
  <si>
    <t xml:space="preserve">Điều kiện hoàn tiền (thời hạn, phần trăm đã học)</t>
  </si>
  <si>
    <t xml:space="preserve">IDiscountPolicy</t>
  </si>
  <si>
    <t xml:space="preserve">Mã giảm giá do nền tảng hay người bán chịu</t>
  </si>
  <si>
    <t xml:space="preserve">Ledger</t>
  </si>
  <si>
    <t xml:space="preserve">IPersonalIncomeTaxPolicy</t>
  </si>
  <si>
    <t xml:space="preserve">Thuế TNCN lũy tiến, giảm trừ gia cảnh, khấu trừ khi chi trả</t>
  </si>
  <si>
    <t xml:space="preserve">IPayoutPolicy</t>
  </si>
  <si>
    <t xml:space="preserve">Thời gian giữ tiền (escrow) và lịch chi trả cho người bán</t>
  </si>
  <si>
    <t xml:space="preserve">Centers</t>
  </si>
  <si>
    <t xml:space="preserve">IPayrollPolicy</t>
  </si>
  <si>
    <t xml:space="preserve">Lương theo buổi dạy hoặc theo doanh thu, tùy trung tâm</t>
  </si>
  <si>
    <t xml:space="preserve">ITuitionInstallmentPolicy</t>
  </si>
  <si>
    <t xml:space="preserve">Học phí trả góp</t>
  </si>
  <si>
    <t xml:space="preserve">IReservationPolicy</t>
  </si>
  <si>
    <t xml:space="preserve">Bảo lưu, chuyển lớp (ví dụ tối đa 2 lần)</t>
  </si>
  <si>
    <t xml:space="preserve">Judging</t>
  </si>
  <si>
    <t xml:space="preserve">ISubmissionDeadlinePolicy</t>
  </si>
  <si>
    <t xml:space="preserve">Bài nộp quá hạn</t>
  </si>
  <si>
    <t xml:space="preserve">IRatingPolicy</t>
  </si>
  <si>
    <t xml:space="preserve">Cách tính điểm Elo</t>
  </si>
  <si>
    <t xml:space="preserve">Mức độ đầu tư DDD theo module</t>
  </si>
  <si>
    <t xml:space="preserve">Mức độ</t>
  </si>
  <si>
    <t xml:space="preserve">Lý do</t>
  </si>
  <si>
    <t xml:space="preserve">Ledger, Ordering, Centers, Judging</t>
  </si>
  <si>
    <t xml:space="preserve">Domain giàu (rich): aggregate, value object, policy, test kỹ</t>
  </si>
  <si>
    <t xml:space="preserve">Sai là mất tiền hoặc sai điểm</t>
  </si>
  <si>
    <t xml:space="preserve">Courses</t>
  </si>
  <si>
    <t xml:space="preserve">Mức vừa</t>
  </si>
  <si>
    <t xml:space="preserve">Có vài quy tắc (xuất bản, giá)</t>
  </si>
  <si>
    <t xml:space="preserve">Identity, Notifications</t>
  </si>
  <si>
    <t xml:space="preserve">Domain mỏng, gần như CRUD</t>
  </si>
  <si>
    <t xml:space="preserve">Không nên làm DDD quá tay</t>
  </si>
  <si>
    <t xml:space="preserve">LỘ TRÌNH 6 GIAI ĐOẠN</t>
  </si>
  <si>
    <t xml:space="preserve">Ô nền vàng là ô bạn cập nhật: Trạng thái, Ghi chú và Tiêu chí hoàn thành (các con số là mục tiêu gợi ý, chỉnh theo thực tế). Chỉ sang giai đoạn mới khi đạt hết tiêu chí.</t>
  </si>
  <si>
    <t xml:space="preserve">Tên</t>
  </si>
  <si>
    <t xml:space="preserve">Hạ tầng đi kèm</t>
  </si>
  <si>
    <t xml:space="preserve">Tiêu chí hoàn thành</t>
  </si>
  <si>
    <t xml:space="preserve">Demo / người dùng thật</t>
  </si>
  <si>
    <t xml:space="preserve">Trạng thái</t>
  </si>
  <si>
    <t xml:space="preserve">Ghi chú</t>
  </si>
  <si>
    <t xml:space="preserve">Modular monolith</t>
  </si>
  <si>
    <t xml:space="preserve">Khóa học, người dùng, mua bán đơn giản; Clean Architecture, EF Core, Blazor. Chưa tách microservices.</t>
  </si>
  <si>
    <t xml:space="preserve">CI/CD, Docker Compose / Aspire, backup database, API Gateway YARP đặt trước monolith</t>
  </si>
  <si>
    <t xml:space="preserve">Unit test, integration test (Testcontainers), tài liệu API (OpenAPI + Scalar), quét dependency và image trong CI</t>
  </si>
  <si>
    <t xml:space="preserve">Đăng ký/đăng nhập; giảng viên tạo khóa học, học viên mua (thanh toán giả lập) và học. CI chạy test mỗi lần push, độ phủ test lớp nghiệp vụ ≥ 70%. Chạy toàn bộ hệ thống bằng một lệnh. Có tài liệu API. Có sơ đồ C4 mức Context và Container, ADR cho các quyết định của giai đoạn 1.</t>
  </si>
  <si>
    <t xml:space="preserve">Demo trực tiếp trên laptop (chạy bằng .NET Aspire); 2–3 người bạn xem và thử mua, học một khóa học. Chưa cần dựng PC.</t>
  </si>
  <si>
    <t xml:space="preserve">Đang làm</t>
  </si>
  <si>
    <t xml:space="preserve">Bắt đầu 13/10/2026. Đã xong khung: Aspire, Gateway YARP, Api, CI, README. Chi tiết ở tab Checklist GĐ1.</t>
  </si>
  <si>
    <t xml:space="preserve">Service chấm code</t>
  </si>
  <si>
    <t xml:space="preserve">Docker sandbox, Hangfire xếp hàng, SignalR trả kết quả. JudgeWorker là tiến trình riêng.</t>
  </si>
  <si>
    <t xml:space="preserve">Observability; object storage MinIO và worker xử lý video</t>
  </si>
  <si>
    <t xml:space="preserve">Mở rộng test cho Judging</t>
  </si>
  <si>
    <t xml:space="preserve">Chấm được C#, Python, C++. Chịu được 50 bài nộp đồng thời. Code độc không thoát được sandbox (không mạng, giới hạn CPU/RAM/thời gian, có test chứng minh). Kết quả trả về real-time. Có dashboard Grafana theo dõi hàng đợi chấm bài. Upload video và phát được HLS.</t>
  </si>
  <si>
    <t xml:space="preserve">Tổ chức một kỳ thi nhỏ cho bạn bè trên nền tảng.</t>
  </si>
  <si>
    <t xml:space="preserve">Chưa bắt đầu</t>
  </si>
  <si>
    <t xml:space="preserve">Marketplace và thanh toán</t>
  </si>
  <si>
    <t xml:space="preserve">Chia doanh thu, hoàn tiền, đối soát, sổ cái kế toán kép.</t>
  </si>
  <si>
    <t xml:space="preserve">Quản lý secret</t>
  </si>
  <si>
    <t xml:space="preserve">Cổng thanh toán VNPay/MoMo sandbox, thông báo đa kênh, test end-to-end Playwright</t>
  </si>
  <si>
    <t xml:space="preserve">Thanh toán đầu-cuối qua VNPay/MoMo sandbox, kể cả hoàn tiền; callback idempotent. Sổ cái luôn cân bằng (tổng nợ = tổng có, kiểm bằng test). Đối soát hằng ngày khớp 100%. Chia doanh thu và chi trả định kỳ cho người bán. Email/push gửi được, tự gửi lại khi lỗi. Test Playwright cho luồng mua khóa học.</t>
  </si>
  <si>
    <t xml:space="preserve">Mời 1–2 người làm giảng viên thật, đăng khóa học và nhận tiền (sandbox).</t>
  </si>
  <si>
    <t xml:space="preserve">Multi-tenant và ERP trung tâm</t>
  </si>
  <si>
    <t xml:space="preserve">Lớp, chấm công, lương, học phí; Keycloak phân quyền nhiều tầng.</t>
  </si>
  <si>
    <t xml:space="preserve">Bảo mật gateway (xác thực tập trung, rate limit)</t>
  </si>
  <si>
    <t xml:space="preserve">Tìm kiếm (Meilisearch), OWASP ZAP, tuân thủ Nghị định 13/2023</t>
  </si>
  <si>
    <t xml:space="preserve">Ít nhất 2 trung tâm chạy song song, có test chứng minh không lọt dữ liệu giữa các tenant. Phân quyền đủ 5 vai trò qua Keycloak. Xếp lịch, chấm công, tính lương giảng viên chạy đúng. Tìm kiếm có lọc. OWASP ZAP không còn lỗi mức cao. Có quy trình xóa dữ liệu theo Nghị định 13/2023.</t>
  </si>
  <si>
    <t xml:space="preserve">Một trung tâm hoặc câu lạc bộ thật dùng thử phần quản lý.</t>
  </si>
  <si>
    <t xml:space="preserve">Tách microservices và deploy thật</t>
  </si>
  <si>
    <t xml:space="preserve">Khi đã rõ ranh giới nghiệp vụ: Aspire, gRPC, RabbitMQ, YARP định tuyến tới từng service.</t>
  </si>
  <si>
    <t xml:space="preserve">Kubernetes, Helm, IaC, Ingress Traefik, gateway định tuyến tới từng service, replication và phân vùng dữ liệu</t>
  </si>
  <si>
    <t xml:space="preserve">Contract test (Pact)</t>
  </si>
  <si>
    <t xml:space="preserve">Các service tách độc lập, deploy riêng được (tối thiểu Judging và Ordering). Chạy trên Kubernetes bằng Helm. Dựng lại toàn bộ hạ tầng từ đầu bằng Terraform/Pulumi. Pact test chạy xanh trong CI. Client không phải sửa khi tách service (chỉ đổi cấu hình gateway). Theo dõi được một request xuyên qua các service. Sơ đồ C4 cập nhật, có ADR cho việc tách service.</t>
  </si>
  <si>
    <t xml:space="preserve">Bản public chạy trên k3s (PC + VPS), có tên miền và HTTPS.</t>
  </si>
  <si>
    <t xml:space="preserve">App MAUI, kỳ thi lớn</t>
  </si>
  <si>
    <t xml:space="preserve">App học viên, tổ chức kỳ thi quy mô lớn.</t>
  </si>
  <si>
    <t xml:space="preserve">Load test, chaos testing, KEDA autoscaling, tách gateway theo loại client (BFF)</t>
  </si>
  <si>
    <t xml:space="preserve">Kiểm thử bảo mật định kỳ</t>
  </si>
  <si>
    <t xml:space="preserve">App MAUI có bản cài thử. Load test kỳ thi 1.000 thí sinh, 5.000 bài nộp trong 10 phút mà không lỗi. Chaos test: tắt pod ngẫu nhiên không mất bài nộp nào. KEDA tự scale worker theo hàng đợi.</t>
  </si>
  <si>
    <t xml:space="preserve">Tổ chức một kỳ thi mở cho cộng đồng.</t>
  </si>
  <si>
    <t xml:space="preserve">Đã hoàn thành</t>
  </si>
  <si>
    <t xml:space="preserve">Tổng số mục</t>
  </si>
  <si>
    <t xml:space="preserve">CHECKLIST GIAI ĐOẠN 1</t>
  </si>
  <si>
    <t xml:space="preserve">Làm theo thứ tự từ trên xuống. Xong việc nào thì đổi cột Trạng thái sang 'Hoàn thành'; tiến độ ở cuối bảng tự cập nhật.</t>
  </si>
  <si>
    <t xml:space="preserve">#</t>
  </si>
  <si>
    <t xml:space="preserve">Việc cần làm</t>
  </si>
  <si>
    <t xml:space="preserve">Cách biết đã xong</t>
  </si>
  <si>
    <t xml:space="preserve">A. Chuẩn bị</t>
  </si>
  <si>
    <t xml:space="preserve">Cài .NET 10 SDK</t>
  </si>
  <si>
    <t xml:space="preserve">Lệnh dotnet --version bắt đầu bằng 10</t>
  </si>
  <si>
    <t xml:space="preserve">Hoàn thành</t>
  </si>
  <si>
    <t xml:space="preserve">Máy có SDK 10.0.301 và 10.0.401.</t>
  </si>
  <si>
    <t xml:space="preserve">Cài Docker Desktop</t>
  </si>
  <si>
    <t xml:space="preserve">Lệnh docker run hello-world chạy được</t>
  </si>
  <si>
    <t xml:space="preserve">Docker 29.7.2.</t>
  </si>
  <si>
    <t xml:space="preserve">Cài Visual Studio 2026 và Git</t>
  </si>
  <si>
    <t xml:space="preserve">Mở được file .slnx, project không báo 'load failed'</t>
  </si>
  <si>
    <t xml:space="preserve">Phải dùng Visual Studio 2026 (18.x). VS 2022 (17.14) không hỗ trợ .NET 10.</t>
  </si>
  <si>
    <t xml:space="preserve">Tạo repo public DevAcademy trên GitHub, clone về laptop</t>
  </si>
  <si>
    <t xml:space="preserve">Có thư mục repo trên máy, git remote -v trỏ đúng GitHub</t>
  </si>
  <si>
    <t xml:space="preserve">Repo đặt ở D:\DuongQuangThinh\project\DevAcademy.</t>
  </si>
  <si>
    <t xml:space="preserve">B. Skeleton</t>
  </si>
  <si>
    <t xml:space="preserve">Tạo skeleton: chạy script hoặc tạo tay trong Visual Studio 2026</t>
  </si>
  <si>
    <t xml:space="preserve">6 project nằm đúng src\... và tests\..., build không lỗi</t>
  </si>
  <si>
    <t xml:space="preserve">Tạo tay trong VS 2026. Bài học: global.json chỉ đặt version tối thiểu + rollForward; luôn kiểm tra ô Location khi tạo project.</t>
  </si>
  <si>
    <t xml:space="preserve">Chạy AppHost bằng Aspire</t>
  </si>
  <si>
    <t xml:space="preserve">Dashboard Aspire hiện api và gateway đều Running</t>
  </si>
  <si>
    <t xml:space="preserve">AppHost phải đặt tên 'api', 'gateway' và có .WithReference(api).</t>
  </si>
  <si>
    <t xml:space="preserve">Gọi thử qua gateway</t>
  </si>
  <si>
    <t xml:space="preserve">Mở &lt;địa chỉ gateway&gt;/api/ping thấy JSON trả về</t>
  </si>
  <si>
    <t xml:space="preserve">https://localhost:7150/api/ping trả JSON qua YARP.</t>
  </si>
  <si>
    <t xml:space="preserve">Commit đầu tiên và push lên GitHub</t>
  </si>
  <si>
    <t xml:space="preserve">Code hiện trên GitHub, góc dưới VS về 0 / 0</t>
  </si>
  <si>
    <t xml:space="preserve">Push lần đầu 13/10/2026 bằng git push -u origin main.</t>
  </si>
  <si>
    <t xml:space="preserve">C. CI</t>
  </si>
  <si>
    <t xml:space="preserve">Smoke test trong ArchitectureTests để CI có test thật</t>
  </si>
  <si>
    <t xml:space="preserve">dotnet test báo total: 1, succeeded: 1</t>
  </si>
  <si>
    <t xml:space="preserve">Sẽ thay bằng test kiến trúc thật khi làm module Courses.</t>
  </si>
  <si>
    <t xml:space="preserve">Workflow CI chạy trên GitHub Actions</t>
  </si>
  <si>
    <t xml:space="preserve">Tab Actions hiện dấu tích xanh</t>
  </si>
  <si>
    <t xml:space="preserve">Lần #1 lỗi chính tả YAML; #2 xanh sau 43 giây. Có workflow_dispatch để chạy tay.</t>
  </si>
  <si>
    <t xml:space="preserve">Thêm Directory.Build.props (nullable, cảnh báo thành lỗi)</t>
  </si>
  <si>
    <t xml:space="preserve">dotnet build vẫn thành công sau khi thêm</t>
  </si>
  <si>
    <t xml:space="preserve">D. Tài liệu</t>
  </si>
  <si>
    <t xml:space="preserve">README: giới thiệu dự án, cách chạy, huy hiệu CI</t>
  </si>
  <si>
    <t xml:space="preserve">README hiển thị trên trang repo với huy hiệu CI passing</t>
  </si>
  <si>
    <t xml:space="preserve">Nhớ cập nhật dòng Trạng thái mỗi khi xong một giai đoạn.</t>
  </si>
  <si>
    <t xml:space="preserve">Viết các ADR giai đoạn 1 (0001–0007) trong docs/adr</t>
  </si>
  <si>
    <t xml:space="preserve">Các file 0001 đến 0007 trong docs/adr, đánh dấu ở tab ADR</t>
  </si>
  <si>
    <t xml:space="preserve">ADR 0008 (giao diện web) viết khi bắt đầu làm Blazor.</t>
  </si>
  <si>
    <t xml:space="preserve">Vẽ sơ đồ C4 mức Context</t>
  </si>
  <si>
    <t xml:space="preserve">File sơ đồ trong docs/architecture</t>
  </si>
  <si>
    <t xml:space="preserve">E. Module Courses</t>
  </si>
  <si>
    <t xml:space="preserve">Domain: Course, Lesson, quy tắc Publish(), kèm unit test</t>
  </si>
  <si>
    <t xml:space="preserve">Test nghiệp vụ chạy xanh</t>
  </si>
  <si>
    <t xml:space="preserve">Application: CreateCourse, PublishCourse, GetCourseDetail</t>
  </si>
  <si>
    <t xml:space="preserve">Handler có test</t>
  </si>
  <si>
    <t xml:space="preserve">Thêm PostgreSQL vào AppHost; Infrastructure: DbContext riêng, schema courses, migration</t>
  </si>
  <si>
    <t xml:space="preserve">Bảng nằm trong schema courses</t>
  </si>
  <si>
    <t xml:space="preserve">Api: endpoint của module, gọi qua gateway</t>
  </si>
  <si>
    <t xml:space="preserve">Tạo và xuất bản khóa học qua /api/...</t>
  </si>
  <si>
    <t xml:space="preserve">ArchitectureTests: luật đầu tiên (không ai tham chiếu Domain của Courses)</t>
  </si>
  <si>
    <t xml:space="preserve">Test kiến trúc chạy xanh trong CI</t>
  </si>
  <si>
    <t xml:space="preserve">F. Nền tảng chung</t>
  </si>
  <si>
    <t xml:space="preserve">Chuyển sang Central Package Management (Directory.Packages.props)</t>
  </si>
  <si>
    <t xml:space="preserve">Không còn version trong từng .csproj</t>
  </si>
  <si>
    <t xml:space="preserve">OpenAPI + Scalar cho Api</t>
  </si>
  <si>
    <t xml:space="preserve">Mở được trang tài liệu API</t>
  </si>
  <si>
    <t xml:space="preserve">Quét dependency và image trong CI</t>
  </si>
  <si>
    <t xml:space="preserve">CI có bước quét</t>
  </si>
  <si>
    <t xml:space="preserve">G. Hoàn thiện GĐ1</t>
  </si>
  <si>
    <t xml:space="preserve">Module Identity với Keycloak trong AppHost</t>
  </si>
  <si>
    <t xml:space="preserve">Đăng nhập được, có vai trò admin/giảng viên/học viên</t>
  </si>
  <si>
    <t xml:space="preserve">Module Ordering: mua khóa học đơn giản</t>
  </si>
  <si>
    <t xml:space="preserve">Học viên mua được khóa học đã xuất bản</t>
  </si>
  <si>
    <t xml:space="preserve">Trang Blazor cơ bản cho luồng tạo, xuất bản, mua</t>
  </si>
  <si>
    <t xml:space="preserve">Làm được trọn luồng trên giao diện</t>
  </si>
  <si>
    <t xml:space="preserve">Integration test với Testcontainers cho luồng chính</t>
  </si>
  <si>
    <t xml:space="preserve">Test chạy xanh trong CI</t>
  </si>
  <si>
    <t xml:space="preserve">Demo trên laptop, đối chiếu tiêu chí hoàn thành GĐ1</t>
  </si>
  <si>
    <t xml:space="preserve">Đổi trạng thái GĐ1 ở tab Lộ trình sang Hoàn thành</t>
  </si>
  <si>
    <t xml:space="preserve">Tổng số việc</t>
  </si>
  <si>
    <t xml:space="preserve">HẠ TẦNG</t>
  </si>
  <si>
    <t xml:space="preserve">Rải theo lộ trình, không dồn hết về cuối.</t>
  </si>
  <si>
    <t xml:space="preserve">Công cụ</t>
  </si>
  <si>
    <t xml:space="preserve">CI/CD</t>
  </si>
  <si>
    <t xml:space="preserve">GitHub Actions, xUnit, Testcontainers</t>
  </si>
  <si>
    <t xml:space="preserve">Build, chạy test, đóng gói image và deploy tự động; chạy migration database trong pipeline.</t>
  </si>
  <si>
    <t xml:space="preserve">CI build + test đã chạy xanh (13/10/2026); chưa có phần CD.</t>
  </si>
  <si>
    <t xml:space="preserve">Đóng gói &amp; chạy local</t>
  </si>
  <si>
    <t xml:space="preserve">Docker Compose, .NET Aspire</t>
  </si>
  <si>
    <t xml:space="preserve">Chạy toàn bộ hệ thống bằng một lệnh.</t>
  </si>
  <si>
    <t xml:space="preserve">AppHost Aspire chạy api + gateway; chưa thêm PostgreSQL, Redis, Keycloak.</t>
  </si>
  <si>
    <t xml:space="preserve">Backup dữ liệu</t>
  </si>
  <si>
    <t xml:space="preserve">pg_dump / pgBackRest</t>
  </si>
  <si>
    <t xml:space="preserve">Backup tự động và diễn tập khôi phục định kỳ.</t>
  </si>
  <si>
    <t xml:space="preserve">Làm khi đã có PostgreSQL.</t>
  </si>
  <si>
    <t xml:space="preserve">API Gateway: dựng ban đầu</t>
  </si>
  <si>
    <t xml:space="preserve">Đặt gateway phía trước modular monolith ngay từ đầu; mọi request từ client đi qua một địa chỉ duy nhất.</t>
  </si>
  <si>
    <t xml:space="preserve">/api/* → Api qua YARP + Aspire service discovery.</t>
  </si>
  <si>
    <t xml:space="preserve">Observability</t>
  </si>
  <si>
    <t xml:space="preserve">OpenTelemetry, Prometheus, Grafana, Loki, Tempo</t>
  </si>
  <si>
    <t xml:space="preserve">Trace, metric, log tập trung; dashboard cho môi trường thật (Aspire dashboard chỉ dùng khi dev).</t>
  </si>
  <si>
    <t xml:space="preserve">Lưu trữ file &amp; video</t>
  </si>
  <si>
    <t xml:space="preserve">MinIO (S3), FFmpeg, CDN/cache</t>
  </si>
  <si>
    <t xml:space="preserve">Object storage, worker chuyển mã video sang HLS, phân phối video (CDN từ giai đoạn 6).</t>
  </si>
  <si>
    <t xml:space="preserve">Vault hoặc Sealed Secrets</t>
  </si>
  <si>
    <t xml:space="preserve">Không để mật khẩu, khóa API trong code hay file cấu hình.</t>
  </si>
  <si>
    <t xml:space="preserve">API Gateway: bảo mật</t>
  </si>
  <si>
    <t xml:space="preserve">YARP, rate limiting ASP.NET Core, Keycloak</t>
  </si>
  <si>
    <t xml:space="preserve">Kiểm tra token tập trung, rate limit (ví dụ số lần nộp bài), chống lạm dụng.</t>
  </si>
  <si>
    <t xml:space="preserve">API Gateway: định tuyến khi tách service</t>
  </si>
  <si>
    <t xml:space="preserve">Định tuyến theo đường dẫn tới từng service (/courses, /submissions, /payments) và theo tên miền của từng trung tâm; chạy song song bản cũ và mới khi chuyển đổi.</t>
  </si>
  <si>
    <t xml:space="preserve">Ingress controller</t>
  </si>
  <si>
    <t xml:space="preserve">Traefik (có sẵn trong k3s)</t>
  </si>
  <si>
    <t xml:space="preserve">Lớp ngoài cùng trên Kubernetes: tên miền, chứng chỉ HTTPS; chuyển request vào YARP.</t>
  </si>
  <si>
    <t xml:space="preserve">Kubernetes</t>
  </si>
  <si>
    <t xml:space="preserve">k3d/kind (local), k3s, Helm</t>
  </si>
  <si>
    <t xml:space="preserve">Đóng gói và deploy hệ thống lên cluster thật; chạy service chấm bài dưới dạng Job/Pod.</t>
  </si>
  <si>
    <t xml:space="preserve">Hạ tầng dưới dạng code</t>
  </si>
  <si>
    <t xml:space="preserve">Terraform hoặc Pulumi (C#)</t>
  </si>
  <si>
    <t xml:space="preserve">Dựng VPS, DNS, cluster bằng code thay vì bấm tay.</t>
  </si>
  <si>
    <t xml:space="preserve">Bảo mật cluster</t>
  </si>
  <si>
    <t xml:space="preserve">cert-manager, NetworkPolicy</t>
  </si>
  <si>
    <t xml:space="preserve">TLS tự động; cô lập sandbox chấm bài khỏi mạng nội bộ.</t>
  </si>
  <si>
    <t xml:space="preserve">Mở rộng dữ liệu</t>
  </si>
  <si>
    <t xml:space="preserve">Postgres replication, partitioning</t>
  </si>
  <si>
    <t xml:space="preserve">Replica đọc; phân vùng bảng lớn (bài nộp, giao dịch).</t>
  </si>
  <si>
    <t xml:space="preserve">API Gateway: tách theo loại client (BFF)</t>
  </si>
  <si>
    <t xml:space="preserve">Gateway riêng cho web Blazor và app MAUI; thêm gateway public nếu mở API cho bên thứ ba.</t>
  </si>
  <si>
    <t xml:space="preserve">Load test</t>
  </si>
  <si>
    <t xml:space="preserve">k6 hoặc NBomber</t>
  </si>
  <si>
    <t xml:space="preserve">Mô phỏng hàng nghìn bài nộp dồn dập phút cuối kỳ thi.</t>
  </si>
  <si>
    <t xml:space="preserve">Chaos testing</t>
  </si>
  <si>
    <t xml:space="preserve">Tắt ngẫu nhiên service/pod</t>
  </si>
  <si>
    <t xml:space="preserve">Kiểm tra hệ thống không mất dữ liệu khi có sự cố.</t>
  </si>
  <si>
    <t xml:space="preserve">Autoscaling</t>
  </si>
  <si>
    <t xml:space="preserve">KEDA</t>
  </si>
  <si>
    <t xml:space="preserve">Tự scale worker chấm bài và chuyển mã video theo độ dài hàng đợi.</t>
  </si>
  <si>
    <t xml:space="preserve">KỸ THUẬT BỔ SUNG</t>
  </si>
  <si>
    <t xml:space="preserve">Kiểm thử: unit test</t>
  </si>
  <si>
    <t xml:space="preserve">xUnit</t>
  </si>
  <si>
    <t xml:space="preserve">Unit test cho nghiệp vụ, tên test đọc như câu nghiệp vụ.</t>
  </si>
  <si>
    <t xml:space="preserve">Kiểm thử: integration test</t>
  </si>
  <si>
    <t xml:space="preserve">xUnit, Testcontainers</t>
  </si>
  <si>
    <t xml:space="preserve">Test với database, message queue thật chạy trong container.</t>
  </si>
  <si>
    <t xml:space="preserve">Tài liệu API</t>
  </si>
  <si>
    <t xml:space="preserve">OpenAPI, Scalar hoặc Swagger UI</t>
  </si>
  <si>
    <t xml:space="preserve">Tài liệu API tự sinh, quy tắc versioning API.</t>
  </si>
  <si>
    <t xml:space="preserve">Kiểm thử bảo mật: CI</t>
  </si>
  <si>
    <t xml:space="preserve">Quét dependency và image</t>
  </si>
  <si>
    <t xml:space="preserve">Quét lỗ hổng thư viện và Docker image trong pipeline CI.</t>
  </si>
  <si>
    <t xml:space="preserve">Kiểm thử: end-to-end</t>
  </si>
  <si>
    <t xml:space="preserve">Playwright</t>
  </si>
  <si>
    <t xml:space="preserve">Test các luồng quan trọng như mua khóa học.</t>
  </si>
  <si>
    <t xml:space="preserve">Thông báo đa kênh</t>
  </si>
  <si>
    <t xml:space="preserve">Email, push trên app MAUI</t>
  </si>
  <si>
    <t xml:space="preserve">Template thông báo, hàng đợi gửi lại khi lỗi.</t>
  </si>
  <si>
    <t xml:space="preserve">Cổng thanh toán thật</t>
  </si>
  <si>
    <t xml:space="preserve">Sandbox VNPay hoặc MoMo</t>
  </si>
  <si>
    <t xml:space="preserve">Tích hợp thanh toán, xử lý callback và đối soát.</t>
  </si>
  <si>
    <t xml:space="preserve">Tìm kiếm</t>
  </si>
  <si>
    <t xml:space="preserve">Meilisearch hoặc Elasticsearch</t>
  </si>
  <si>
    <t xml:space="preserve">Tìm khóa học, bài tập; có lọc và gợi ý.</t>
  </si>
  <si>
    <t xml:space="preserve">Kiểm thử bảo mật: ứng dụng</t>
  </si>
  <si>
    <t xml:space="preserve">OWASP ZAP</t>
  </si>
  <si>
    <t xml:space="preserve">Quét lỗ hổng ứng dụng web.</t>
  </si>
  <si>
    <t xml:space="preserve">Bảo vệ dữ liệu cá nhân</t>
  </si>
  <si>
    <t xml:space="preserve">Nghị định 13/2023</t>
  </si>
  <si>
    <t xml:space="preserve">Đồng ý xử lý dữ liệu, quyền xóa dữ liệu, ghi nhật ký truy cập.</t>
  </si>
  <si>
    <t xml:space="preserve">Kiểm thử: contract test</t>
  </si>
  <si>
    <t xml:space="preserve">Pact</t>
  </si>
  <si>
    <t xml:space="preserve">Kiểm tra hợp đồng giao tiếp giữa các service khi tách microservices.</t>
  </si>
  <si>
    <t xml:space="preserve">LƯU TRỮ DỮ LIỆU</t>
  </si>
  <si>
    <t xml:space="preserve">PostgreSQL là nguồn sự thật. Redis, Meilisearch chỉ là bản sao, mất được và dựng lại được.</t>
  </si>
  <si>
    <t xml:space="preserve">Dữ liệu nào lưu ở đâu</t>
  </si>
  <si>
    <t xml:space="preserve">Loại dữ liệu</t>
  </si>
  <si>
    <t xml:space="preserve">Lưu ở đâu</t>
  </si>
  <si>
    <t xml:space="preserve">Dữ liệu nghiệp vụ chính</t>
  </si>
  <si>
    <t xml:space="preserve">Người dùng, khóa học, đơn hàng, ERP trung tâm (lớp, chấm công, lương)</t>
  </si>
  <si>
    <t xml:space="preserve">PostgreSQL (mỗi module một schema)</t>
  </si>
  <si>
    <t xml:space="preserve">Mã nguồn mở, miễn phí, chạy tốt với EF Core (Npgsql), hỗ trợ JSONB, partitioning, row-level security.</t>
  </si>
  <si>
    <t xml:space="preserve">Sổ cái và giao dịch tiền</t>
  </si>
  <si>
    <t xml:space="preserve">Bút toán, số dư, đối soát, chi trả</t>
  </si>
  <si>
    <t xml:space="preserve">PostgreSQL (database/schema riêng, bảng chỉ ghi thêm)</t>
  </si>
  <si>
    <t xml:space="preserve">Cần giao dịch ACID tuyệt đối; tách riêng để phân quyền chặt và backup kỹ hơn.</t>
  </si>
  <si>
    <t xml:space="preserve">Bài nộp và kết quả chấm</t>
  </si>
  <si>
    <t xml:space="preserve">Mã nguồn bài nộp, điểm, thời gian chạy</t>
  </si>
  <si>
    <t xml:space="preserve">PostgreSQL; bộ test lớn để ở MinIO</t>
  </si>
  <si>
    <t xml:space="preserve">Mã nguồn nhỏ nên lưu thẳng trong database; bảng lớn nhanh nên phân vùng theo tháng.</t>
  </si>
  <si>
    <t xml:space="preserve">File và video</t>
  </si>
  <si>
    <t xml:space="preserve">Video bài giảng, ảnh, tài liệu, file HLS, chứng chỉ PDF, hóa đơn</t>
  </si>
  <si>
    <t xml:space="preserve">MinIO (tương thích S3)</t>
  </si>
  <si>
    <t xml:space="preserve">Database không dùng để chứa file lớn; S3 là chuẩn chung, sau này chuyển sang dịch vụ cloud không phải sửa code.</t>
  </si>
  <si>
    <t xml:space="preserve">Cache, giỏ hàng, phiên</t>
  </si>
  <si>
    <t xml:space="preserve">Giỏ hàng, cache trang khóa học, rate limit</t>
  </si>
  <si>
    <t xml:space="preserve">Đọc/ghi cực nhanh; dữ liệu mất được (có thể dựng lại từ PostgreSQL).</t>
  </si>
  <si>
    <t xml:space="preserve">Bảng xếp hạng real-time</t>
  </si>
  <si>
    <t xml:space="preserve">Xếp hạng kỳ thi, điểm Elo hiển thị</t>
  </si>
  <si>
    <t xml:space="preserve">Redis (sorted set); kết quả chính thức lưu PostgreSQL</t>
  </si>
  <si>
    <t xml:space="preserve">Redis để hiển thị nhanh, PostgreSQL là nguồn sự thật.</t>
  </si>
  <si>
    <t xml:space="preserve">Chỉ mục tìm kiếm</t>
  </si>
  <si>
    <t xml:space="preserve">Khóa học, bài tập</t>
  </si>
  <si>
    <t xml:space="preserve">Chỉ là bản sao phục vụ tìm kiếm, đồng bộ từ PostgreSQL qua sự kiện; dựng lại được bất cứ lúc nào.</t>
  </si>
  <si>
    <t xml:space="preserve">Hàng đợi job</t>
  </si>
  <si>
    <t xml:space="preserve">Job chấm bài, đối soát, gửi thông báo</t>
  </si>
  <si>
    <t xml:space="preserve">Hangfire lưu trong PostgreSQL</t>
  </si>
  <si>
    <t xml:space="preserve">Không cần thêm hệ thống mới; job không mất khi khởi động lại.</t>
  </si>
  <si>
    <t xml:space="preserve">Message giữa các service</t>
  </si>
  <si>
    <t xml:space="preserve">Sự kiện thanh toán xong, chấm xong</t>
  </si>
  <si>
    <t xml:space="preserve">RabbitMQ (qua MassTransit)</t>
  </si>
  <si>
    <t xml:space="preserve">Chỉ trung chuyển, không phải nơi lưu lâu dài; dùng outbox pattern trong PostgreSQL để không mất sự kiện.</t>
  </si>
  <si>
    <t xml:space="preserve">Danh tính và phân quyền</t>
  </si>
  <si>
    <t xml:space="preserve">Tài khoản đăng nhập, vai trò</t>
  </si>
  <si>
    <t xml:space="preserve">Keycloak với database PostgreSQL riêng</t>
  </si>
  <si>
    <t xml:space="preserve">Tách khỏi dữ liệu nghiệp vụ.</t>
  </si>
  <si>
    <t xml:space="preserve">Nhật ký kiểm toán</t>
  </si>
  <si>
    <t xml:space="preserve">Ai xem/sửa dữ liệu gì, khi nào (Nghị định 13/2023)</t>
  </si>
  <si>
    <t xml:space="preserve">PostgreSQL, bảng chỉ ghi thêm, phân vùng theo tháng</t>
  </si>
  <si>
    <t xml:space="preserve">Không cho sửa/xóa; dễ truy vấn khi cần đối chiếu.</t>
  </si>
  <si>
    <t xml:space="preserve">Log, metric, trace</t>
  </si>
  <si>
    <t xml:space="preserve">Log ứng dụng, số liệu hiệu năng, trace request</t>
  </si>
  <si>
    <t xml:space="preserve">Loki (log), Prometheus (metric), Tempo (trace)</t>
  </si>
  <si>
    <t xml:space="preserve">Dữ liệu vận hành, có thời hạn lưu (7–30 ngày).</t>
  </si>
  <si>
    <t xml:space="preserve">Secret</t>
  </si>
  <si>
    <t xml:space="preserve">Mật khẩu database, khóa API cổng thanh toán</t>
  </si>
  <si>
    <t xml:space="preserve">Không để trong code hay file cấu hình.</t>
  </si>
  <si>
    <t xml:space="preserve">Backup</t>
  </si>
  <si>
    <t xml:space="preserve">Bản sao PostgreSQL, file MinIO</t>
  </si>
  <si>
    <t xml:space="preserve">restic / pgBackRest ra ổ ngoài và kho lưu trữ online</t>
  </si>
  <si>
    <t xml:space="preserve">Backup phải nằm khác nơi với dữ liệu gốc; diễn tập khôi phục định kỳ.</t>
  </si>
  <si>
    <t xml:space="preserve">Tổ chức dữ liệu</t>
  </si>
  <si>
    <t xml:space="preserve">Vấn đề</t>
  </si>
  <si>
    <t xml:space="preserve">Multi-tenant</t>
  </si>
  <si>
    <t xml:space="preserve">Bắt đầu bằng bảng dùng chung có cột TenantId + global query filter của EF Core + row-level security của PostgreSQL. Trung tâm lớn có thể tách database riêng sau (ghi trong ADR).</t>
  </si>
  <si>
    <t xml:space="preserve">Ranh giới module</t>
  </si>
  <si>
    <t xml:space="preserve">Mỗi module một DbContext và schema riêng (courses.*, ordering.*, ledger.*); không join chéo schema.</t>
  </si>
  <si>
    <t xml:space="preserve">Khi tách microservices</t>
  </si>
  <si>
    <t xml:space="preserve">Mỗi service sở hữu database/schema riêng, không service nào đọc thẳng bảng của service khác. Lúc đầu các database vẫn nằm chung một cụm PostgreSQL để tiết kiệm.</t>
  </si>
  <si>
    <t xml:space="preserve">Migration</t>
  </si>
  <si>
    <t xml:space="preserve">EF Core migrations, chạy tự động trong pipeline CI/CD.</t>
  </si>
  <si>
    <t xml:space="preserve">Tiền</t>
  </si>
  <si>
    <t xml:space="preserve">Luôn dùng decimal, quy tắc làm tròn rõ ràng và có test; không dùng double/float.</t>
  </si>
  <si>
    <t xml:space="preserve">Thời gian</t>
  </si>
  <si>
    <t xml:space="preserve">Lưu UTC (DateTimeOffset), chỉ đổi sang giờ Việt Nam khi hiển thị. Endpoint /ping đã trả giờ UTC.</t>
  </si>
  <si>
    <t xml:space="preserve">Dữ liệu chạy ở đâu theo giai đoạn</t>
  </si>
  <si>
    <t xml:space="preserve">Môi trường</t>
  </si>
  <si>
    <t xml:space="preserve">Cách lưu</t>
  </si>
  <si>
    <t xml:space="preserve">Khi nào</t>
  </si>
  <si>
    <t xml:space="preserve">Laptop (dev)</t>
  </si>
  <si>
    <t xml:space="preserve">Tất cả chạy bằng .NET Aspire / Docker Desktop: PostgreSQL, Redis, MinIO, RabbitMQ, Meilisearch, Keycloak</t>
  </si>
  <si>
    <t xml:space="preserve">Mọi giai đoạn</t>
  </si>
  <si>
    <t xml:space="preserve">Môi trường chính hiện tại.</t>
  </si>
  <si>
    <t xml:space="preserve">PC ở nhà (Ubuntu Server)</t>
  </si>
  <si>
    <t xml:space="preserve">Docker Compose; volume dữ liệu trên SSD; backup ra ổ ngoài và kho lưu trữ online; public qua Cloudflare Tunnel</t>
  </si>
  <si>
    <t xml:space="preserve">Khi cần demo hoặc chạy liên tục (tới giai đoạn 4)</t>
  </si>
  <si>
    <t xml:space="preserve">Chưa cần dựng ngay.</t>
  </si>
  <si>
    <t xml:space="preserve">Kubernetes (k3s trên PC + VPS thuê)</t>
  </si>
  <si>
    <t xml:space="preserve">Service ứng dụng chạy trên K8s; PostgreSQL dùng CloudNativePG operator; MinIO chạy StatefulSet; video công khai chuyển sang object storage + CDN thuê ngoài</t>
  </si>
  <si>
    <t xml:space="preserve">Giai đoạn 5–6</t>
  </si>
  <si>
    <t xml:space="preserve">Lưu ý vị trí dữ liệu</t>
  </si>
  <si>
    <t xml:space="preserve">Có người dùng thật ở Việt Nam thì chọn máy chủ đặt tại Việt Nam, tìm hiểu yêu cầu của Nghị định 13/2023 và Luật An ninh mạng</t>
  </si>
  <si>
    <t xml:space="preserve">Trước khi có người dùng thật</t>
  </si>
  <si>
    <t xml:space="preserve">CẤU TRÚC CODE</t>
  </si>
  <si>
    <t xml:space="preserve">Chia theo module nghiệp vụ trước, chia theo lớp bên trong mỗi module sau. Cột Trạng thái cho biết đường dẫn đã có trong repo chưa.</t>
  </si>
  <si>
    <t xml:space="preserve">Cấu trúc repo</t>
  </si>
  <si>
    <t xml:space="preserve">Đường dẫn</t>
  </si>
  <si>
    <t xml:space="preserve">src/Aspire/DevAcademy.AppHost</t>
  </si>
  <si>
    <t xml:space="preserve">Điều phối toàn bộ hệ thống khi chạy dev (service 'api', 'gateway')</t>
  </si>
  <si>
    <t xml:space="preserve">Đã tạo</t>
  </si>
  <si>
    <t xml:space="preserve">src/Aspire/DevAcademy.ServiceDefaults</t>
  </si>
  <si>
    <t xml:space="preserve">OpenTelemetry, health check, service discovery, cấu hình chung (Extensions.cs)</t>
  </si>
  <si>
    <t xml:space="preserve">src/Gateway/DevAcademy.Gateway</t>
  </si>
  <si>
    <t xml:space="preserve">API Gateway YARP</t>
  </si>
  <si>
    <t xml:space="preserve">src/Host/DevAcademy.Api</t>
  </si>
  <si>
    <t xml:space="preserve">Ứng dụng chạy monolith, nạp tất cả module (Minimal API)</t>
  </si>
  <si>
    <t xml:space="preserve">src/BuildingBlocks/DevAcademy.SharedKernel</t>
  </si>
  <si>
    <t xml:space="preserve">Entity, AggregateRoot, ValueObject, Result, IDomainEvent (giữ thật mỏng)</t>
  </si>
  <si>
    <t xml:space="preserve">src/BuildingBlocks/DevAcademy.Infrastructure.Common</t>
  </si>
  <si>
    <t xml:space="preserve">Outbox, logging, cấu hình EF Core chung</t>
  </si>
  <si>
    <t xml:space="preserve">Chưa tạo</t>
  </si>
  <si>
    <t xml:space="preserve">src/Modules/Identity</t>
  </si>
  <si>
    <t xml:space="preserve">Module người dùng, xác thực</t>
  </si>
  <si>
    <t xml:space="preserve">src/Modules/Courses</t>
  </si>
  <si>
    <t xml:space="preserve">Module khóa học, bài giảng</t>
  </si>
  <si>
    <t xml:space="preserve">src/Modules/Ordering</t>
  </si>
  <si>
    <t xml:space="preserve">Module giỏ hàng, đơn hàng, thanh toán</t>
  </si>
  <si>
    <t xml:space="preserve">src/Modules/Judging</t>
  </si>
  <si>
    <t xml:space="preserve">Module bài tập, bài nộp, kỳ thi, xếp hạng</t>
  </si>
  <si>
    <t xml:space="preserve">src/Modules/Ledger</t>
  </si>
  <si>
    <t xml:space="preserve">Module sổ cái, đối soát, chi trả</t>
  </si>
  <si>
    <t xml:space="preserve">src/Modules/Notifications</t>
  </si>
  <si>
    <t xml:space="preserve">Module thông báo đa kênh</t>
  </si>
  <si>
    <t xml:space="preserve">src/Modules/Centers</t>
  </si>
  <si>
    <t xml:space="preserve">Module ERP trung tâm: lớp, chấm công, lương</t>
  </si>
  <si>
    <t xml:space="preserve">src/Workers/DevAcademy.JudgeWorker</t>
  </si>
  <si>
    <t xml:space="preserve">Tiến trình riêng điều khiển Docker sandbox chấm bài</t>
  </si>
  <si>
    <t xml:space="preserve">src/Clients/DevAcademy.Web</t>
  </si>
  <si>
    <t xml:space="preserve">src/Clients/DevAcademy.Mobile</t>
  </si>
  <si>
    <t xml:space="preserve">tests/Modules/&lt;Module&gt;.UnitTests</t>
  </si>
  <si>
    <t xml:space="preserve">Unit test nghiệp vụ từng module</t>
  </si>
  <si>
    <t xml:space="preserve">tests/Modules/&lt;Module&gt;.IntegrationTests</t>
  </si>
  <si>
    <t xml:space="preserve">Integration test với Testcontainers</t>
  </si>
  <si>
    <t xml:space="preserve">tests/DevAcademy.ArchitectureTests</t>
  </si>
  <si>
    <t xml:space="preserve">Kiểm tra luật phụ thuộc giữa module (hiện có SmokeTests)</t>
  </si>
  <si>
    <t xml:space="preserve">tests/DevAcademy.E2ETests</t>
  </si>
  <si>
    <t xml:space="preserve">Test end-to-end bằng Playwright</t>
  </si>
  <si>
    <t xml:space="preserve">docs/adr</t>
  </si>
  <si>
    <t xml:space="preserve">Các bản ghi quyết định kiến trúc (0001-modular-monolith.md, 0002-postgresql.md…)</t>
  </si>
  <si>
    <t xml:space="preserve">docs/architecture</t>
  </si>
  <si>
    <t xml:space="preserve">Sơ đồ C4</t>
  </si>
  <si>
    <t xml:space="preserve">deploy/docker</t>
  </si>
  <si>
    <t xml:space="preserve">docker-compose cho PC/VPS</t>
  </si>
  <si>
    <t xml:space="preserve">Khi cần</t>
  </si>
  <si>
    <t xml:space="preserve">deploy/helm</t>
  </si>
  <si>
    <t xml:space="preserve">Helm chart cho Kubernetes</t>
  </si>
  <si>
    <t xml:space="preserve">deploy/terraform (hoặc pulumi)</t>
  </si>
  <si>
    <t xml:space="preserve">.github/workflows</t>
  </si>
  <si>
    <t xml:space="preserve">Pipeline CI (ci.yml: restore, build, test)</t>
  </si>
  <si>
    <t xml:space="preserve">Directory.Build.props</t>
  </si>
  <si>
    <t xml:space="preserve">Cấu hình chung: nullable, cảnh báo thành lỗi</t>
  </si>
  <si>
    <t xml:space="preserve">Directory.Packages.props</t>
  </si>
  <si>
    <t xml:space="preserve">Quản lý version NuGet tập trung</t>
  </si>
  <si>
    <t xml:space="preserve">.editorconfig</t>
  </si>
  <si>
    <t xml:space="preserve">Quy tắc định dạng code</t>
  </si>
  <si>
    <t xml:space="preserve">.gitignore</t>
  </si>
  <si>
    <t xml:space="preserve">Loại bin/, obj/, .vs/ khỏi Git</t>
  </si>
  <si>
    <t xml:space="preserve">global.json</t>
  </si>
  <si>
    <t xml:space="preserve">Phiên bản SDK tối thiểu 10.0.100 + rollForward latestFeature (không ghim cứng bản vá)</t>
  </si>
  <si>
    <t xml:space="preserve">DevAcademy.slnx</t>
  </si>
  <si>
    <t xml:space="preserve">File solution</t>
  </si>
  <si>
    <t xml:space="preserve">README.md</t>
  </si>
  <si>
    <t xml:space="preserve">Giới thiệu, cách chạy, huy hiệu CI</t>
  </si>
  <si>
    <t xml:space="preserve">Bên trong một module (ví dụ Courses)</t>
  </si>
  <si>
    <t xml:space="preserve">Project</t>
  </si>
  <si>
    <t xml:space="preserve">DevAcademy.Courses.Domain</t>
  </si>
  <si>
    <t xml:space="preserve">Entity, value object, quy tắc nghiệp vụ, domain event; không phụ thuộc project nào khác (trừ SharedKernel).</t>
  </si>
  <si>
    <t xml:space="preserve">DevAcademy.Courses.Application</t>
  </si>
  <si>
    <t xml:space="preserve">Use case chia theo tính năng (vertical slice): Features/CreateCourse/ gồm Command, Handler, Validator.</t>
  </si>
  <si>
    <t xml:space="preserve">DevAcademy.Courses.Infrastructure</t>
  </si>
  <si>
    <t xml:space="preserve">DbContext riêng, migration, repository, tích hợp bên ngoài.</t>
  </si>
  <si>
    <t xml:space="preserve">DevAcademy.Courses.Api</t>
  </si>
  <si>
    <t xml:space="preserve">Endpoint (Minimal API), đăng ký module vào Host.</t>
  </si>
  <si>
    <t xml:space="preserve">DevAcademy.Courses.Contracts</t>
  </si>
  <si>
    <t xml:space="preserve">Thứ duy nhất module khác được dùng: interface ICoursesModule, integration event.</t>
  </si>
  <si>
    <t xml:space="preserve">Luật bắt buộc</t>
  </si>
  <si>
    <t xml:space="preserve">Luật</t>
  </si>
  <si>
    <t xml:space="preserve">Module chỉ tham chiếu Contracts của module khác, không bao giờ đụng vào Domain hay Infrastructure của nhau.</t>
  </si>
  <si>
    <t xml:space="preserve">Mỗi module có DbContext và schema PostgreSQL riêng (courses.*, ordering.*, ledger.*); không join chéo giữa các schema.</t>
  </si>
  <si>
    <t xml:space="preserve">Giao tiếp chéo module ưu tiên bằng integration event qua outbox; trong monolith đi trong bộ nhớ, khi tách service đổi sang RabbitMQ.</t>
  </si>
  <si>
    <t xml:space="preserve">Luật phụ thuộc được kiểm tra tự động trong ArchitectureTests; vi phạm thì CI báo đỏ.</t>
  </si>
  <si>
    <t xml:space="preserve">BuildingBlocks phải mỏng; thứ chỉ hai module dùng thì chấp nhận lặp code thay vì tạo phụ thuộc chung.</t>
  </si>
  <si>
    <t xml:space="preserve">Business logic chỉ nằm trong Domain; Application điều phối, Infrastructure lo kỹ thuật, Api không chứa logic.</t>
  </si>
  <si>
    <t xml:space="preserve">7</t>
  </si>
  <si>
    <t xml:space="preserve">JudgeWorker là tiến trình riêng ngay từ giai đoạn 2, không chạy chung tiến trình với API.</t>
  </si>
  <si>
    <t xml:space="preserve">8</t>
  </si>
  <si>
    <t xml:space="preserve">Khi tách service (giai đoạn 5): mỗi module có Host riêng (ví dụ DevAcademy.Judging.Host); Domain và Application giữ nguyên.</t>
  </si>
  <si>
    <t xml:space="preserve">MÁY CHỦ</t>
  </si>
  <si>
    <t xml:space="preserve">Laptop để code, PC ở nhà làm server chính (full option), VPS thuê thêm khi mở cho người ngoài. Chưa cần dựng PC ngay: chỉ đưa lên PC khi có người khác cần dùng thử hoặc cần chạy liên tục. Cột Giai đoạn của PC là thời điểm sớm nhất có thể dùng.</t>
  </si>
  <si>
    <t xml:space="preserve">Chia vai trò</t>
  </si>
  <si>
    <t xml:space="preserve">Máy</t>
  </si>
  <si>
    <t xml:space="preserve">Thành phần</t>
  </si>
  <si>
    <t xml:space="preserve">Laptop</t>
  </si>
  <si>
    <t xml:space="preserve">Môi trường dev</t>
  </si>
  <si>
    <t xml:space="preserve">Visual Studio 2026 / Rider, .NET Aspire, Docker Desktop</t>
  </si>
  <si>
    <t xml:space="preserve">Viết code, chạy toàn bộ hệ thống khi phát triển. Không dùng Visual Studio 2022 cho dự án này.</t>
  </si>
  <si>
    <t xml:space="preserve">Kiểm thử</t>
  </si>
  <si>
    <t xml:space="preserve">xUnit, Testcontainers, Playwright, k6/NBomber</t>
  </si>
  <si>
    <t xml:space="preserve">Chạy test; bắn load test sang PC.</t>
  </si>
  <si>
    <t xml:space="preserve">Thử Kubernetes</t>
  </si>
  <si>
    <t xml:space="preserve">k3d</t>
  </si>
  <si>
    <t xml:space="preserve">Thử cấu hình K8s trước khi đưa lên PC.</t>
  </si>
  <si>
    <t xml:space="preserve">GitHub</t>
  </si>
  <si>
    <t xml:space="preserve">GitHub Actions, GitHub Container Registry</t>
  </si>
  <si>
    <t xml:space="preserve">Build, test, đóng gói image; PC chỉ kéo image về chạy.</t>
  </si>
  <si>
    <t xml:space="preserve">PC</t>
  </si>
  <si>
    <t xml:space="preserve">Hệ điều hành</t>
  </si>
  <si>
    <t xml:space="preserve">Ubuntu Server (không giao diện), quản lý qua SSH</t>
  </si>
  <si>
    <t xml:space="preserve">Dành toàn bộ tài nguyên cho các service.</t>
  </si>
  <si>
    <t xml:space="preserve">Chạy container</t>
  </si>
  <si>
    <t xml:space="preserve">Docker + Docker Compose</t>
  </si>
  <si>
    <t xml:space="preserve">Chạy toàn bộ hệ thống giai đoạn 1–4.</t>
  </si>
  <si>
    <t xml:space="preserve">Quản lý container</t>
  </si>
  <si>
    <t xml:space="preserve">Portainer</t>
  </si>
  <si>
    <t xml:space="preserve">Giao diện web xem và quản lý container.</t>
  </si>
  <si>
    <t xml:space="preserve">k3s (Traefik có sẵn)</t>
  </si>
  <si>
    <t xml:space="preserve">Cluster chính từ giai đoạn 5.</t>
  </si>
  <si>
    <t xml:space="preserve">Database</t>
  </si>
  <si>
    <t xml:space="preserve">Dữ liệu nghiệp vụ, sổ cái, Hangfire, nhật ký kiểm toán.</t>
  </si>
  <si>
    <t xml:space="preserve">Cache</t>
  </si>
  <si>
    <t xml:space="preserve">Cache, giỏ hàng, bảng xếp hạng.</t>
  </si>
  <si>
    <t xml:space="preserve">Lưu trữ file</t>
  </si>
  <si>
    <t xml:space="preserve">Video, tài liệu, bộ test, backup nội bộ.</t>
  </si>
  <si>
    <t xml:space="preserve">Keycloak</t>
  </si>
  <si>
    <t xml:space="preserve">Đăng nhập, phân quyền nhiều tầng.</t>
  </si>
  <si>
    <t xml:space="preserve">Message broker</t>
  </si>
  <si>
    <t xml:space="preserve">RabbitMQ</t>
  </si>
  <si>
    <t xml:space="preserve">Sự kiện giữa các service.</t>
  </si>
  <si>
    <t xml:space="preserve">Chỉ mục tìm kiếm khóa học, bài tập.</t>
  </si>
  <si>
    <t xml:space="preserve">JudgeWorker + Docker sandbox</t>
  </si>
  <si>
    <t xml:space="preserve">Chấm bài khi chỉ bạn bè tin cậy dùng.</t>
  </si>
  <si>
    <t xml:space="preserve">Giám sát</t>
  </si>
  <si>
    <t xml:space="preserve">Prometheus, Grafana, Loki, Tempo</t>
  </si>
  <si>
    <t xml:space="preserve">Metric, dashboard, log, trace.</t>
  </si>
  <si>
    <t xml:space="preserve">Giám sát máy</t>
  </si>
  <si>
    <t xml:space="preserve">node-exporter, cAdvisor</t>
  </si>
  <si>
    <t xml:space="preserve">Theo dõi CPU, RAM, ổ đĩa của PC và từng container.</t>
  </si>
  <si>
    <t xml:space="preserve">Cảnh báo</t>
  </si>
  <si>
    <t xml:space="preserve">Alertmanager, Uptime Kuma</t>
  </si>
  <si>
    <t xml:space="preserve">Báo qua Telegram/email khi service chết, ổ đầy, RAM cao.</t>
  </si>
  <si>
    <t xml:space="preserve">Public ra Internet</t>
  </si>
  <si>
    <t xml:space="preserve">Cloudflare Tunnel</t>
  </si>
  <si>
    <t xml:space="preserve">Không cần mở cổng router hay IP tĩnh; HTTPS sẵn; che IP nhà.</t>
  </si>
  <si>
    <t xml:space="preserve">Truy cập từ xa</t>
  </si>
  <si>
    <t xml:space="preserve">Tailscale</t>
  </si>
  <si>
    <t xml:space="preserve">SSH, Grafana, Portainer từ bất kỳ đâu mà không mở ra Internet.</t>
  </si>
  <si>
    <t xml:space="preserve">restic / pgBackRest</t>
  </si>
  <si>
    <t xml:space="preserve">Backup tự động ra ổ ngoài và một kho lưu trữ online.</t>
  </si>
  <si>
    <t xml:space="preserve">Nguồn điện</t>
  </si>
  <si>
    <t xml:space="preserve">UPS + NUT</t>
  </si>
  <si>
    <t xml:space="preserve">Tự tắt máy an toàn khi mất điện, tránh hỏng database.</t>
  </si>
  <si>
    <t xml:space="preserve">VPS thuê</t>
  </si>
  <si>
    <t xml:space="preserve">Node Kubernetes thứ hai</t>
  </si>
  <si>
    <t xml:space="preserve">k3s agent</t>
  </si>
  <si>
    <t xml:space="preserve">Học cluster nhiều node trải trên hai nơi.</t>
  </si>
  <si>
    <t xml:space="preserve">Chấm bài công khai</t>
  </si>
  <si>
    <t xml:space="preserve">JudgeWorker + Docker sandbox (cân nhắc gVisor)</t>
  </si>
  <si>
    <t xml:space="preserve">Tách code lạ khỏi mạng nhà khi mở cho người ngoài.</t>
  </si>
  <si>
    <t xml:space="preserve">VPS thuê / dịch vụ ngoài</t>
  </si>
  <si>
    <t xml:space="preserve">Phát video</t>
  </si>
  <si>
    <t xml:space="preserve">Object storage + CDN</t>
  </si>
  <si>
    <t xml:space="preserve">Tránh nghẽn băng thông upload gia đình.</t>
  </si>
  <si>
    <t xml:space="preserve">Bảo mật và vận hành PC</t>
  </si>
  <si>
    <t xml:space="preserve">Việc</t>
  </si>
  <si>
    <t xml:space="preserve">SSH chỉ dùng khóa, tắt đăng nhập bằng mật khẩu và tài khoản root.</t>
  </si>
  <si>
    <t xml:space="preserve">Tường lửa UFW: chặn mọi cổng từ ngoài; truy cập chỉ qua Cloudflare Tunnel và Tailscale.</t>
  </si>
  <si>
    <t xml:space="preserve">fail2ban chống dò mật khẩu; unattended-upgrades tự cài bản vá bảo mật.</t>
  </si>
  <si>
    <t xml:space="preserve">Nếu router hỗ trợ, đặt PC ở mạng khách/VLAN riêng, tách khỏi các thiết bị khác trong nhà.</t>
  </si>
  <si>
    <t xml:space="preserve">Đặt giới hạn RAM/CPU cho từng container để một service lỗi không kéo sập cả máy.</t>
  </si>
  <si>
    <t xml:space="preserve">Diễn tập khôi phục từ backup ít nhất mỗi quý.</t>
  </si>
  <si>
    <t xml:space="preserve">Nếu máy chậm: thay SSD (nếu đang dùng HDD) và thêm RAM là hai nâng cấp đáng tiền nhất.</t>
  </si>
  <si>
    <t xml:space="preserve">Cấu hình PC hiện tại và ước tính RAM</t>
  </si>
  <si>
    <t xml:space="preserve">Ước tính / đề xuất</t>
  </si>
  <si>
    <t xml:space="preserve">Cấu hình</t>
  </si>
  <si>
    <t xml:space="preserve">RAM 8GB, Core i3 đời cũ</t>
  </si>
  <si>
    <t xml:space="preserve">Chưa cần nâng cấp ngay.</t>
  </si>
  <si>
    <t xml:space="preserve">Ubuntu Server, Docker</t>
  </si>
  <si>
    <t xml:space="preserve">~0,5GB</t>
  </si>
  <si>
    <t xml:space="preserve">PostgreSQL, Redis, MinIO</t>
  </si>
  <si>
    <t xml:space="preserve">~0,8–1GB</t>
  </si>
  <si>
    <t xml:space="preserve">Dịch vụ nền</t>
  </si>
  <si>
    <t xml:space="preserve">Keycloak, RabbitMQ, Meilisearch</t>
  </si>
  <si>
    <t xml:space="preserve">~1–1,5GB</t>
  </si>
  <si>
    <t xml:space="preserve">Giới hạn Java heap của Keycloak khoảng 512MB.</t>
  </si>
  <si>
    <t xml:space="preserve">Prometheus, Grafana, Loki, Tempo, cAdvisor, Uptime Kuma, Portainer</t>
  </si>
  <si>
    <t xml:space="preserve">Giữ dữ liệu 7 ngày.</t>
  </si>
  <si>
    <t xml:space="preserve">Ứng dụng</t>
  </si>
  <si>
    <t xml:space="preserve">API, Gateway, JudgeWorker</t>
  </si>
  <si>
    <t xml:space="preserve">~0,5–0,8GB</t>
  </si>
  <si>
    <t xml:space="preserve">Mỗi sandbox đang chạy</t>
  </si>
  <si>
    <t xml:space="preserve">~0,25GB/bài</t>
  </si>
  <si>
    <t xml:space="preserve">Chỉ chạy 1–2 cùng lúc, còn lại xếp hàng.</t>
  </si>
  <si>
    <t xml:space="preserve">Tổng</t>
  </si>
  <si>
    <t xml:space="preserve">Giai đoạn 1–4</t>
  </si>
  <si>
    <t xml:space="preserve">~4–6GB</t>
  </si>
  <si>
    <t xml:space="preserve">Còn dư chút.</t>
  </si>
  <si>
    <t xml:space="preserve">Khi nào nâng cấp</t>
  </si>
  <si>
    <t xml:space="preserve">Khoảng giai đoạn 4–5, khi Grafana báo RAM thường xuyên đầy</t>
  </si>
  <si>
    <t xml:space="preserve">16GB RAM (DDR3 cũ rất rẻ), SSD nếu đang dùng HDD</t>
  </si>
  <si>
    <t xml:space="preserve">CÁCH LÀM</t>
  </si>
  <si>
    <t xml:space="preserve">Phần quan trọng hơn cả công nghệ: tài liệu kiến trúc, tiêu chí hoàn thành, người dùng thật, kiểm soát phạm vi.</t>
  </si>
  <si>
    <t xml:space="preserve">Chi tiết</t>
  </si>
  <si>
    <t xml:space="preserve">Tài liệu kiến trúc: sơ đồ C4</t>
  </si>
  <si>
    <t xml:space="preserve">Vẽ sơ đồ C4 ở các mức Context, Container, Component</t>
  </si>
  <si>
    <t xml:space="preserve">Context: hệ thống và các bên liên quan (học viên, giảng viên, cổng thanh toán). Container: các ứng dụng, service, database, queue. Component: bên trong các service nặng nghiệp vụ. Công cụ: Structurizr, Mermaid hoặc draw.io; lưu trong docs/architecture.</t>
  </si>
  <si>
    <t xml:space="preserve">Bắt đầu từ giai đoạn 1, cập nhật cuối mỗi giai đoạn</t>
  </si>
  <si>
    <t xml:space="preserve">Tài liệu kiến trúc: ADR</t>
  </si>
  <si>
    <t xml:space="preserve">Ghi lại mỗi quyết định kiến trúc quan trọng thành một bản ghi</t>
  </si>
  <si>
    <t xml:space="preserve">Mỗi ADR gồm: Bối cảnh, Các phương án, Quyết định, Hệ quả (được gì, mất gì). Mỗi quyết định một file trong docs/adr, đánh số tăng dần (0001-ten-ngan.md). Không sửa ADR cũ; khi đổi ý thì viết ADR mới thay thế. Tự viết bằng lời của mình. Danh sách ở tab 'ADR'.</t>
  </si>
  <si>
    <t xml:space="preserve">Ngay khi ra quyết định</t>
  </si>
  <si>
    <t xml:space="preserve">Mỗi giai đoạn có tiêu chí đo được trước khi bắt đầu</t>
  </si>
  <si>
    <t xml:space="preserve">Tiêu chí phải kiểm chứng được bằng test, số liệu hoặc demo. Chỉ chuyển giai đoạn khi đạt hết tiêu chí. Chi tiết ở cột 'Tiêu chí hoàn thành' trong tab 'Lộ trình'.</t>
  </si>
  <si>
    <t xml:space="preserve">Viết trước khi bắt đầu mỗi giai đoạn</t>
  </si>
  <si>
    <t xml:space="preserve">Người dùng thật / demo công khai</t>
  </si>
  <si>
    <t xml:space="preserve">Đưa sản phẩm cho người khác dùng sau mỗi giai đoạn</t>
  </si>
  <si>
    <t xml:space="preserve">Dù chỉ vài người bạn dùng thử; ghi lại phản hồi và lỗi phát hiện được. Chi tiết ở cột 'Demo / người dùng thật' trong tab 'Lộ trình'.</t>
  </si>
  <si>
    <t xml:space="preserve">Cuối mỗi giai đoạn</t>
  </si>
  <si>
    <t xml:space="preserve">Kiểm soát phạm vi</t>
  </si>
  <si>
    <t xml:space="preserve">Ý tưởng mới ghi vào danh sách để sau, không làm ngay</t>
  </si>
  <si>
    <t xml:space="preserve">Danh sách ở tab 'Để sau'. Chỉ đưa một mục vào lộ trình khi giai đoạn hiện tại đã hoàn thành.</t>
  </si>
  <si>
    <t xml:space="preserve">Suốt dự án</t>
  </si>
  <si>
    <t xml:space="preserve">Nhịp làm việc</t>
  </si>
  <si>
    <t xml:space="preserve">Tự review cuối mỗi tháng</t>
  </si>
  <si>
    <t xml:space="preserve">Đối chiếu tiêu chí hoàn thành, cập nhật file này, viết một bài nhật ký kỹ thuật ngắn (ghi cả các lỗi đã gặp và cách xử lý).</t>
  </si>
  <si>
    <t xml:space="preserve">Cuối mỗi tháng</t>
  </si>
  <si>
    <t xml:space="preserve">Công khai</t>
  </si>
  <si>
    <t xml:space="preserve">Repo public, README tốt, demo sớm</t>
  </si>
  <si>
    <t xml:space="preserve">README có huy hiệu CI, ảnh chụp màn hình, sơ đồ kiến trúc, số liệu benchmark. Dự án dang dở nhưng có tài liệu tốt vẫn giá trị hơn dự án 'sắp xong' chưa ai thấy.</t>
  </si>
  <si>
    <t xml:space="preserve">DANH SÁCH ADR CẦN VIẾT</t>
  </si>
  <si>
    <t xml:space="preserve">Phương án ghi '(đề xuất)' là phương án đã thống nhất trong buổi brainstorm; bạn vẫn tự viết ADR để giải thích lý do. Trạng thái: Chưa viết / Đang viết / Đã viết / Đã thay thế.</t>
  </si>
  <si>
    <t xml:space="preserve">Số</t>
  </si>
  <si>
    <t xml:space="preserve">Quyết định</t>
  </si>
  <si>
    <t xml:space="preserve">Các phương án cân nhắc</t>
  </si>
  <si>
    <t xml:space="preserve">Tên file gợi ý</t>
  </si>
  <si>
    <t xml:space="preserve">0001</t>
  </si>
  <si>
    <t xml:space="preserve">Kiến trúc tổng thể</t>
  </si>
  <si>
    <t xml:space="preserve">Modular monolith trước (đề xuất) / microservices ngay từ đầu</t>
  </si>
  <si>
    <t xml:space="preserve">0001-modular-monolith.md</t>
  </si>
  <si>
    <t xml:space="preserve">Chưa viết</t>
  </si>
  <si>
    <t xml:space="preserve">0002</t>
  </si>
  <si>
    <t xml:space="preserve">Cơ sở dữ liệu chính</t>
  </si>
  <si>
    <t xml:space="preserve">PostgreSQL (đề xuất) / SQL Server / MySQL</t>
  </si>
  <si>
    <t xml:space="preserve">0002-postgresql.md</t>
  </si>
  <si>
    <t xml:space="preserve">0003</t>
  </si>
  <si>
    <t xml:space="preserve">Module nghiệp vụ + Clean Architecture cấp module + vertical slice trong Application (đề xuất) / chia theo lớp toàn cục</t>
  </si>
  <si>
    <t xml:space="preserve">0003-cau-truc-code.md</t>
  </si>
  <si>
    <t xml:space="preserve">0004</t>
  </si>
  <si>
    <t xml:space="preserve">Phiên bản .NET</t>
  </si>
  <si>
    <t xml:space="preserve">.NET 10 LTS (đề xuất) / bản STS mới nhất. Ghi kèm bài học: cần Visual Studio 2026, global.json đặt phiên bản tối thiểu + rollForward</t>
  </si>
  <si>
    <t xml:space="preserve">0004-dotnet-10.md</t>
  </si>
  <si>
    <t xml:space="preserve">0005</t>
  </si>
  <si>
    <t xml:space="preserve">Mô hình Git</t>
  </si>
  <si>
    <t xml:space="preserve">Trunk-based (đề xuất) / Git Flow</t>
  </si>
  <si>
    <t xml:space="preserve">0005-git-trunk-based.md</t>
  </si>
  <si>
    <t xml:space="preserve">0006</t>
  </si>
  <si>
    <t xml:space="preserve">Dùng API Gateway từ đầu</t>
  </si>
  <si>
    <t xml:space="preserve">Đặt YARP trước monolith ngay từ giai đoạn 1 (đề xuất) / chỉ thêm khi tách service</t>
  </si>
  <si>
    <t xml:space="preserve">0006-gateway-tu-dau.md</t>
  </si>
  <si>
    <t xml:space="preserve">0007</t>
  </si>
  <si>
    <t xml:space="preserve">Xác thực và phân quyền</t>
  </si>
  <si>
    <t xml:space="preserve">Keycloak ngay từ đầu (đề xuất) / ASP.NET Core Identity</t>
  </si>
  <si>
    <t xml:space="preserve">0007-xac-thuc.md</t>
  </si>
  <si>
    <t xml:space="preserve">0008</t>
  </si>
  <si>
    <t xml:space="preserve">Giao diện web</t>
  </si>
  <si>
    <t xml:space="preserve">Blazor Server / Blazor WebAssembly / Blazor Web App (kết hợp)</t>
  </si>
  <si>
    <t xml:space="preserve">0008-giao-dien-web.md</t>
  </si>
  <si>
    <t xml:space="preserve">0009</t>
  </si>
  <si>
    <t xml:space="preserve">Chiến lược observability</t>
  </si>
  <si>
    <t xml:space="preserve">OpenTelemetry + Prometheus/Grafana/Loki/Tempo (đề xuất) / Seq</t>
  </si>
  <si>
    <t xml:space="preserve">0009-observability.md</t>
  </si>
  <si>
    <t xml:space="preserve">0010</t>
  </si>
  <si>
    <t xml:space="preserve">Cách ly môi trường chấm bài</t>
  </si>
  <si>
    <t xml:space="preserve">Docker qua Docker.DotNet (đề xuất) / tiến trình có giới hạn / gVisor / Kubernetes Job</t>
  </si>
  <si>
    <t xml:space="preserve">0010-sandbox-cham-bai.md</t>
  </si>
  <si>
    <t xml:space="preserve">0011</t>
  </si>
  <si>
    <t xml:space="preserve">Hangfire / Quartz.NET / RabbitMQ</t>
  </si>
  <si>
    <t xml:space="preserve">0011-hang-doi-job.md</t>
  </si>
  <si>
    <t xml:space="preserve">0012</t>
  </si>
  <si>
    <t xml:space="preserve">Lưu trữ và phát video</t>
  </si>
  <si>
    <t xml:space="preserve">MinIO + HLS (đề xuất) / dịch vụ video bên ngoài</t>
  </si>
  <si>
    <t xml:space="preserve">0012-video.md</t>
  </si>
  <si>
    <t xml:space="preserve">0013</t>
  </si>
  <si>
    <t xml:space="preserve">Mô hình sổ cái</t>
  </si>
  <si>
    <t xml:space="preserve">Kế toán kép, bảng chỉ ghi thêm (đề xuất) / ghi số dư trực tiếp; có dùng event sourcing không</t>
  </si>
  <si>
    <t xml:space="preserve">0013-so-cai.md</t>
  </si>
  <si>
    <t xml:space="preserve">0014</t>
  </si>
  <si>
    <t xml:space="preserve">Cổng thanh toán</t>
  </si>
  <si>
    <t xml:space="preserve">VNPay / MoMo / cả hai qua lớp trừu tượng</t>
  </si>
  <si>
    <t xml:space="preserve">0014-cong-thanh-toan.md</t>
  </si>
  <si>
    <t xml:space="preserve">0015</t>
  </si>
  <si>
    <t xml:space="preserve">Giao tiếp chéo module</t>
  </si>
  <si>
    <t xml:space="preserve">Integration event qua outbox (đề xuất) / gọi trực tiếp qua Contracts</t>
  </si>
  <si>
    <t xml:space="preserve">0015-giao-tiep-cheo-module.md</t>
  </si>
  <si>
    <t xml:space="preserve">0016</t>
  </si>
  <si>
    <t xml:space="preserve">Vị trí đặt dữ liệu</t>
  </si>
  <si>
    <t xml:space="preserve">PC ở nhà cho giai đoạn 1–4 (đề xuất) / VPS tại Việt Nam / nước ngoài; máy chủ tại Việt Nam khi có người dùng thật (Nghị định 13/2023)</t>
  </si>
  <si>
    <t xml:space="preserve">0016-vi-tri-du-lieu.md</t>
  </si>
  <si>
    <t xml:space="preserve">0017</t>
  </si>
  <si>
    <t xml:space="preserve">Chiến lược multi-tenant</t>
  </si>
  <si>
    <t xml:space="preserve">Dùng chung bảng có cột TenantId + RLS (đề xuất) / schema riêng / database riêng</t>
  </si>
  <si>
    <t xml:space="preserve">0017-multi-tenant.md</t>
  </si>
  <si>
    <t xml:space="preserve">0018</t>
  </si>
  <si>
    <t xml:space="preserve">Công cụ tìm kiếm</t>
  </si>
  <si>
    <t xml:space="preserve">Meilisearch (đề xuất) / Elasticsearch / full-text search của PostgreSQL</t>
  </si>
  <si>
    <t xml:space="preserve">0018-tim-kiem.md</t>
  </si>
  <si>
    <t xml:space="preserve">0019</t>
  </si>
  <si>
    <t xml:space="preserve">Ranh giới tách service</t>
  </si>
  <si>
    <t xml:space="preserve">Tách theo bounded context nào, service nào tách trước</t>
  </si>
  <si>
    <t xml:space="preserve">0019-ranh-gioi-service.md</t>
  </si>
  <si>
    <t xml:space="preserve">0020</t>
  </si>
  <si>
    <t xml:space="preserve">Message broker khi tách service</t>
  </si>
  <si>
    <t xml:space="preserve">RabbitMQ + MassTransit (đề xuất) / Kafka</t>
  </si>
  <si>
    <t xml:space="preserve">0020-message-broker.md</t>
  </si>
  <si>
    <t xml:space="preserve">0021</t>
  </si>
  <si>
    <t xml:space="preserve">Giao tiếp đồng bộ giữa service</t>
  </si>
  <si>
    <t xml:space="preserve">gRPC (đề xuất) / REST</t>
  </si>
  <si>
    <t xml:space="preserve">0021-grpc-rest.md</t>
  </si>
  <si>
    <t xml:space="preserve">0022</t>
  </si>
  <si>
    <t xml:space="preserve">Mô hình gateway</t>
  </si>
  <si>
    <t xml:space="preserve">Một gateway chung / tách theo loại client - BFF (web, app MAUI, API public)</t>
  </si>
  <si>
    <t xml:space="preserve">0022-mo-hinh-gateway.md</t>
  </si>
  <si>
    <t xml:space="preserve">0023</t>
  </si>
  <si>
    <t xml:space="preserve">Nền tảng triển khai</t>
  </si>
  <si>
    <t xml:space="preserve">k3s trên PC ở nhà + VPS thuê làm node thứ hai (đề xuất) / Kubernetes managed</t>
  </si>
  <si>
    <t xml:space="preserve">0023-nen-tang-trien-khai.md</t>
  </si>
  <si>
    <t xml:space="preserve">0024</t>
  </si>
  <si>
    <t xml:space="preserve">Công cụ IaC</t>
  </si>
  <si>
    <t xml:space="preserve">Terraform / Pulumi (C#)</t>
  </si>
  <si>
    <t xml:space="preserve">0024-iac.md</t>
  </si>
  <si>
    <t xml:space="preserve">0025</t>
  </si>
  <si>
    <t xml:space="preserve">Chiến lược autoscaling</t>
  </si>
  <si>
    <t xml:space="preserve">KEDA theo độ dài hàng đợi (đề xuất) / HPA theo CPU</t>
  </si>
  <si>
    <t xml:space="preserve">0025-autoscaling.md</t>
  </si>
  <si>
    <t xml:space="preserve">Đã viết</t>
  </si>
  <si>
    <t xml:space="preserve">LƯU Ý</t>
  </si>
  <si>
    <t xml:space="preserve">Những bẫy hay gặp khi làm thật, cùng các bài học đã gặp trong quá trình dựng dự án.</t>
  </si>
  <si>
    <t xml:space="preserve">Kỹ thuật</t>
  </si>
  <si>
    <t xml:space="preserve">Tiền luôn dùng decimal</t>
  </si>
  <si>
    <t xml:space="preserve">Không dùng double/float. Quy tắc làm tròn (theo đồng, khi chia hoa hồng) ghi rõ và có test.</t>
  </si>
  <si>
    <t xml:space="preserve">Thời gian lưu theo UTC</t>
  </si>
  <si>
    <t xml:space="preserve">Dùng DateTimeOffset; chỉ đổi sang giờ Việt Nam khi hiển thị (lịch học, hạn nộp bài, đóng sổ cuối ngày).</t>
  </si>
  <si>
    <t xml:space="preserve">Callback thanh toán idempotent</t>
  </si>
  <si>
    <t xml:space="preserve">Cổng thanh toán có thể gọi lại nhiều lần; dùng mã giao dịch làm khóa chống ghi trùng.</t>
  </si>
  <si>
    <t xml:space="preserve">Sandbox chấm bài là rủi ro bảo mật lớn nhất</t>
  </si>
  <si>
    <t xml:space="preserve">Không chạy code lạ trên máy chứa database; khi deploy thật đặt worker chấm bài trên máy riêng; tìm hiểu gVisor để cách ly chặt hơn.</t>
  </si>
  <si>
    <t xml:space="preserve">Chọn bản .NET LTS</t>
  </si>
  <si>
    <t xml:space="preserve">Hiện là .NET 10, tránh phải nâng cấp liên tục giữa chừng.</t>
  </si>
  <si>
    <t xml:space="preserve">Cấu hình không viết cứng trong code</t>
  </si>
  <si>
    <t xml:space="preserve">Chuỗi kết nối, khóa API đọc từ biến môi trường hoặc file cấu hình, để chuyển từ laptop lên PC không phải sửa code.</t>
  </si>
  <si>
    <t xml:space="preserve">Mỗi service có Dockerfile chạy được</t>
  </si>
  <si>
    <t xml:space="preserve">Chuẩn bị sẵn để khi cần đưa lên PC chỉ việc deploy.</t>
  </si>
  <si>
    <t xml:space="preserve">Dữ liệu mẫu và reset demo</t>
  </si>
  <si>
    <t xml:space="preserve">Có seed data và lệnh reset môi trường demo để người dùng thử luôn thấy nội dung.</t>
  </si>
  <si>
    <t xml:space="preserve">Đừng làm quá sớm</t>
  </si>
  <si>
    <t xml:space="preserve">Không tách microservices trước giai đoạn 5</t>
  </si>
  <si>
    <t xml:space="preserve">Kể cả khi thấy 'ngứa tay'.</t>
  </si>
  <si>
    <t xml:space="preserve">Không tối ưu khi chưa đo</t>
  </si>
  <si>
    <t xml:space="preserve">Load test trước, tối ưu đúng chỗ nghẽn sau.</t>
  </si>
  <si>
    <t xml:space="preserve">Chấp nhận giao diện xấu ở giai đoạn 1</t>
  </si>
  <si>
    <t xml:space="preserve">Nghiệp vụ và kiến trúc là trọng tâm.</t>
  </si>
  <si>
    <t xml:space="preserve">Chi phí và pháp lý</t>
  </si>
  <si>
    <t xml:space="preserve">Video tốn băng thông và dung lượng</t>
  </si>
  <si>
    <t xml:space="preserve">Tính chi phí VPS trước; giới hạn dung lượng upload trong giai đoạn demo.</t>
  </si>
  <si>
    <t xml:space="preserve">Chỉ dùng sandbox của VNPay/MoMo</t>
  </si>
  <si>
    <t xml:space="preserve">Thu tiền thật cần pháp nhân, đăng ký kinh doanh, hóa đơn.</t>
  </si>
  <si>
    <t xml:space="preserve">Bản quyền nội dung khóa học</t>
  </si>
  <si>
    <t xml:space="preserve">Khóa học demo dùng nội dung tự làm hoặc có giấy phép mở.</t>
  </si>
  <si>
    <t xml:space="preserve">Cách làm việc</t>
  </si>
  <si>
    <t xml:space="preserve">Commit nhỏ, trunk-based</t>
  </si>
  <si>
    <t xml:space="preserve">Làm trên nhánh chính, nhánh phụ sống ngắn; không cần Git Flow.</t>
  </si>
  <si>
    <t xml:space="preserve">Giữ nhịp đều</t>
  </si>
  <si>
    <t xml:space="preserve">Mỗi tuần vài buổi cố định tốt hơn làm dồn rồi bỏ dở.</t>
  </si>
  <si>
    <t xml:space="preserve">Đối chiếu tiêu chí hoàn thành, cập nhật file này, viết một bài nhật ký kỹ thuật ngắn.</t>
  </si>
  <si>
    <t xml:space="preserve">Public repo và demo sớm</t>
  </si>
  <si>
    <t xml:space="preserve">Dự án dang dở nhưng có tài liệu tốt và tiến độ rõ vẫn giá trị hơn dự án 'sắp xong' chưa ai thấy.</t>
  </si>
  <si>
    <t xml:space="preserve">Hiểu code AI viết</t>
  </si>
  <si>
    <t xml:space="preserve">Phải giải thích được từng phần; phỏng vấn sẽ hỏi sâu vào đó.</t>
  </si>
  <si>
    <t xml:space="preserve">Bài học thực tế</t>
  </si>
  <si>
    <t xml:space="preserve">Dùng đúng Visual Studio 2026</t>
  </si>
  <si>
    <t xml:space="preserve">VS 2022 (17.14) không hỗ trợ .NET 10: hộp thoại tạo project chỉ có .NET 8/9, project báo 'load failed' dù dotnet build vẫn chạy. Kiểm tra bằng Help → About; đặt .slnx mở mặc định bằng VS 2026.</t>
  </si>
  <si>
    <t xml:space="preserve">global.json không ghim cứng bản vá</t>
  </si>
  <si>
    <t xml:space="preserve">Ghim 10.0.302 khi máy chỉ có 10.0.301 làm mọi lệnh dotnet lỗi. Đặt version tối thiểu (10.0.100) + rollForward latestFeature.</t>
  </si>
  <si>
    <t xml:space="preserve">Luôn kiểm tra ô Location khi tạo project</t>
  </si>
  <si>
    <t xml:space="preserve">Solution folder trong VS chỉ là thư mục ảo. Sau khi tạo, nhìn dòng 'Restored D:\...' ở thanh trạng thái hoặc chuột phải → Open Folder in File Explorer.</t>
  </si>
  <si>
    <t xml:space="preserve">Mở đúng file khi các project trùng tên file</t>
  </si>
  <si>
    <t xml:space="preserve">Project nào cũng có Program.cs, appsettings.json. Rê chuột lên tab để xem đường dẫn đầy đủ trước khi dán code.</t>
  </si>
  <si>
    <t xml:space="preserve">Tên service trong AppHost phải khớp cấu hình</t>
  </si>
  <si>
    <t xml:space="preserve">Gateway trỏ tới https+http://api nên AppHost phải đặt tên 'api' và có .WithReference(api); code VS tự sinh không có dòng này.</t>
  </si>
  <si>
    <t xml:space="preserve">File cấu hình: copy-paste, đừng gõ lại</t>
  </si>
  <si>
    <t xml:space="preserve">YAML sai một chữ (braiches, run-on, users) là CI báo Invalid workflow file. Đọc kỹ dòng, cột mà công cụ báo lỗi.</t>
  </si>
  <si>
    <t xml:space="preserve">ĐỂ SAU</t>
  </si>
  <si>
    <t xml:space="preserve">Ghi ý tưởng mới vào đây thay vì làm ngay. Hai dòng đầu là ví dụ, có thể xóa; các dòng vàng để bạn điền.</t>
  </si>
  <si>
    <t xml:space="preserve">Ngày ghi</t>
  </si>
  <si>
    <t xml:space="preserve">Lý do / giá trị</t>
  </si>
  <si>
    <t xml:space="preserve">Ưu tiên</t>
  </si>
  <si>
    <t xml:space="preserve">Xem lại khi</t>
  </si>
  <si>
    <t xml:space="preserve">10/10/2026</t>
  </si>
  <si>
    <t xml:space="preserve">Bảng xếp hạng chiến lược giải bài theo tuần</t>
  </si>
  <si>
    <t xml:space="preserve">Tăng tương tác của học viên</t>
  </si>
  <si>
    <t xml:space="preserve">Trung bình</t>
  </si>
  <si>
    <t xml:space="preserve">12/10/2026</t>
  </si>
  <si>
    <t xml:space="preserve">Trợ lý AI gợi ý lời giải bằng Semantic Kernel</t>
  </si>
  <si>
    <t xml:space="preserve">Hay nhưng không thuộc lõi</t>
  </si>
  <si>
    <t xml:space="preserve">Thấp</t>
  </si>
  <si>
    <t xml:space="preserve">Sau giai đoạn 4</t>
  </si>
</sst>
</file>

<file path=xl/styles.xml><?xml version="1.0" encoding="utf-8"?>
<styleSheet xmlns="http://schemas.openxmlformats.org/spreadsheetml/2006/main">
  <numFmts count="3">
    <numFmt numFmtId="164" formatCode="General"/>
    <numFmt numFmtId="165" formatCode="General"/>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b val="true"/>
      <sz val="11"/>
      <color rgb="FF1F3864"/>
      <name val="Arial"/>
      <family val="0"/>
      <charset val="1"/>
    </font>
    <font>
      <b val="true"/>
      <sz val="11"/>
      <color rgb="FFFFFFFF"/>
      <name val="Arial"/>
      <family val="0"/>
      <charset val="1"/>
    </font>
    <font>
      <sz val="10"/>
      <name val="Arial"/>
      <family val="0"/>
      <charset val="1"/>
    </font>
    <font>
      <u val="single"/>
      <sz val="10"/>
      <color rgb="FF0563C1"/>
      <name val="Arial"/>
      <family val="0"/>
      <charset val="1"/>
    </font>
    <font>
      <b val="true"/>
      <sz val="10"/>
      <color rgb="FF006100"/>
      <name val="Arial"/>
      <family val="0"/>
      <charset val="1"/>
    </font>
    <font>
      <b val="true"/>
      <sz val="10"/>
      <name val="Arial"/>
      <family val="0"/>
      <charset val="1"/>
    </font>
    <font>
      <b val="true"/>
      <sz val="11"/>
      <name val="Arial"/>
      <family val="0"/>
      <charset val="1"/>
    </font>
    <font>
      <sz val="10"/>
      <name val="Consolas"/>
      <family val="0"/>
      <charset val="1"/>
    </font>
    <font>
      <sz val="9"/>
      <name val="Consolas"/>
      <family val="0"/>
      <charset val="1"/>
    </font>
  </fonts>
  <fills count="5">
    <fill>
      <patternFill patternType="none"/>
    </fill>
    <fill>
      <patternFill patternType="gray125"/>
    </fill>
    <fill>
      <patternFill patternType="solid">
        <fgColor rgb="FFD9E1F2"/>
        <bgColor rgb="FFBDD7EE"/>
      </patternFill>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left" vertical="bottom" textRotation="0" wrapText="false" indent="0" shrinkToFit="false"/>
      <protection locked="true" hidden="false"/>
    </xf>
    <xf numFmtId="166" fontId="12" fillId="0" borderId="0" xfId="0" applyFont="true" applyBorder="false" applyAlignment="true" applyProtection="false">
      <alignment horizontal="left"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0061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BDD7EE"/>
          <bgColor rgb="FF000000"/>
        </patternFill>
      </fill>
    </dxf>
    <dxf>
      <font>
        <name val="Arial"/>
        <charset val="1"/>
        <family val="0"/>
        <color rgb="FF006100"/>
      </font>
      <fill>
        <patternFill>
          <bgColor rgb="FFC6EFCE"/>
        </patternFill>
      </fill>
    </dxf>
    <dxf>
      <fill>
        <patternFill>
          <bgColor rgb="FFBDD7EE"/>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D9E1F2"/>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u-an-nen-tang-dao-tao-lap-trinh.xlsx" TargetMode="External"/><Relationship Id="rId2" Type="http://schemas.openxmlformats.org/officeDocument/2006/relationships/hyperlink" Target="du-an-nen-tang-dao-tao-lap-trinh.xlsx" TargetMode="External"/><Relationship Id="rId3" Type="http://schemas.openxmlformats.org/officeDocument/2006/relationships/hyperlink" Target="du-an-nen-tang-dao-tao-lap-trinh.xlsx" TargetMode="External"/><Relationship Id="rId4" Type="http://schemas.openxmlformats.org/officeDocument/2006/relationships/hyperlink" Target="du-an-nen-tang-dao-tao-lap-trinh.xlsx" TargetMode="External"/><Relationship Id="rId5" Type="http://schemas.openxmlformats.org/officeDocument/2006/relationships/hyperlink" Target="du-an-nen-tang-dao-tao-lap-trinh.xlsx" TargetMode="External"/><Relationship Id="rId6" Type="http://schemas.openxmlformats.org/officeDocument/2006/relationships/hyperlink" Target="du-an-nen-tang-dao-tao-lap-trinh.xlsx" TargetMode="External"/><Relationship Id="rId7" Type="http://schemas.openxmlformats.org/officeDocument/2006/relationships/hyperlink" Target="du-an-nen-tang-dao-tao-lap-trinh.xlsx" TargetMode="External"/><Relationship Id="rId8" Type="http://schemas.openxmlformats.org/officeDocument/2006/relationships/hyperlink" Target="du-an-nen-tang-dao-tao-lap-trinh.xlsx" TargetMode="External"/><Relationship Id="rId9" Type="http://schemas.openxmlformats.org/officeDocument/2006/relationships/hyperlink" Target="du-an-nen-tang-dao-tao-lap-trinh.xlsx" TargetMode="External"/><Relationship Id="rId10" Type="http://schemas.openxmlformats.org/officeDocument/2006/relationships/hyperlink" Target="du-an-nen-tang-dao-tao-lap-trinh.xlsx" TargetMode="External"/><Relationship Id="rId11" Type="http://schemas.openxmlformats.org/officeDocument/2006/relationships/hyperlink" Target="du-an-nen-tang-dao-tao-lap-trinh.xlsx" TargetMode="External"/><Relationship Id="rId12" Type="http://schemas.openxmlformats.org/officeDocument/2006/relationships/hyperlink" Target="du-an-nen-tang-dao-tao-lap-trinh.xlsx" TargetMode="External"/><Relationship Id="rId13" Type="http://schemas.openxmlformats.org/officeDocument/2006/relationships/hyperlink" Target="du-an-nen-tang-dao-tao-lap-trinh.xlsx" TargetMode="External"/><Relationship Id="rId14" Type="http://schemas.openxmlformats.org/officeDocument/2006/relationships/hyperlink" Target="du-an-nen-tang-dao-tao-lap-trinh.xlsx" TargetMode="External"/><Relationship Id="rId15" Type="http://schemas.openxmlformats.org/officeDocument/2006/relationships/hyperlink" Target="du-an-nen-tang-dao-tao-lap-trinh.xlsx" TargetMode="External"/><Relationship Id="rId16" Type="http://schemas.openxmlformats.org/officeDocument/2006/relationships/hyperlink" Target="du-an-nen-tang-dao-tao-lap-trinh.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2"/>
  </cols>
  <sheetData>
    <row r="1" customFormat="false" ht="18.55" hidden="false" customHeight="false" outlineLevel="0" collapsed="false">
      <c r="A1" s="1" t="s">
        <v>0</v>
      </c>
    </row>
    <row r="2" customFormat="false" ht="43.5" hidden="false" customHeight="true" outlineLevel="0" collapsed="false">
      <c r="A2" s="2" t="s">
        <v>1</v>
      </c>
      <c r="B2" s="2"/>
    </row>
    <row r="4" customFormat="false" ht="15" hidden="false" customHeight="false" outlineLevel="0" collapsed="false">
      <c r="A4" s="3" t="s">
        <v>2</v>
      </c>
      <c r="B4" s="4"/>
    </row>
    <row r="5" customFormat="false" ht="15" hidden="false" customHeight="false" outlineLevel="0" collapsed="false">
      <c r="A5" s="5" t="s">
        <v>3</v>
      </c>
      <c r="B5" s="5" t="s">
        <v>4</v>
      </c>
    </row>
    <row r="6" customFormat="false" ht="15" hidden="false" customHeight="false" outlineLevel="0" collapsed="false">
      <c r="A6" s="6" t="s">
        <v>5</v>
      </c>
      <c r="B6" s="6" t="s">
        <v>6</v>
      </c>
    </row>
    <row r="7" customFormat="false" ht="23.85" hidden="false" customHeight="false" outlineLevel="0" collapsed="false">
      <c r="A7" s="6" t="s">
        <v>7</v>
      </c>
      <c r="B7" s="6" t="s">
        <v>8</v>
      </c>
    </row>
    <row r="8" customFormat="false" ht="15" hidden="false" customHeight="false" outlineLevel="0" collapsed="false">
      <c r="A8" s="6" t="s">
        <v>9</v>
      </c>
      <c r="B8" s="6" t="s">
        <v>10</v>
      </c>
    </row>
    <row r="9" customFormat="false" ht="15" hidden="false" customHeight="false" outlineLevel="0" collapsed="false">
      <c r="A9" s="6" t="s">
        <v>11</v>
      </c>
      <c r="B9" s="6" t="s">
        <v>12</v>
      </c>
    </row>
    <row r="10" customFormat="false" ht="15" hidden="false" customHeight="false" outlineLevel="0" collapsed="false">
      <c r="A10" s="6" t="s">
        <v>13</v>
      </c>
      <c r="B10" s="6" t="s">
        <v>14</v>
      </c>
    </row>
    <row r="11" customFormat="false" ht="15" hidden="false" customHeight="false" outlineLevel="0" collapsed="false">
      <c r="A11" s="6" t="s">
        <v>15</v>
      </c>
      <c r="B11" s="6" t="s">
        <v>16</v>
      </c>
    </row>
    <row r="12" customFormat="false" ht="15" hidden="false" customHeight="false" outlineLevel="0" collapsed="false">
      <c r="A12" s="6" t="s">
        <v>17</v>
      </c>
      <c r="B12" s="6" t="s">
        <v>18</v>
      </c>
    </row>
    <row r="14" customFormat="false" ht="15" hidden="false" customHeight="false" outlineLevel="0" collapsed="false">
      <c r="A14" s="3" t="s">
        <v>19</v>
      </c>
      <c r="B14" s="4"/>
    </row>
    <row r="15" customFormat="false" ht="15" hidden="false" customHeight="false" outlineLevel="0" collapsed="false">
      <c r="A15" s="5" t="s">
        <v>20</v>
      </c>
      <c r="B15" s="5" t="s">
        <v>21</v>
      </c>
    </row>
    <row r="16" customFormat="false" ht="15" hidden="false" customHeight="false" outlineLevel="0" collapsed="false">
      <c r="A16" s="7" t="s">
        <v>22</v>
      </c>
      <c r="B16" s="6" t="s">
        <v>23</v>
      </c>
    </row>
    <row r="17" customFormat="false" ht="15" hidden="false" customHeight="false" outlineLevel="0" collapsed="false">
      <c r="A17" s="7" t="s">
        <v>24</v>
      </c>
      <c r="B17" s="6" t="s">
        <v>25</v>
      </c>
    </row>
    <row r="18" customFormat="false" ht="15" hidden="false" customHeight="false" outlineLevel="0" collapsed="false">
      <c r="A18" s="7" t="s">
        <v>26</v>
      </c>
      <c r="B18" s="6" t="s">
        <v>27</v>
      </c>
    </row>
    <row r="19" customFormat="false" ht="15" hidden="false" customHeight="false" outlineLevel="0" collapsed="false">
      <c r="A19" s="7" t="s">
        <v>28</v>
      </c>
      <c r="B19" s="6" t="s">
        <v>29</v>
      </c>
    </row>
    <row r="20" customFormat="false" ht="15" hidden="false" customHeight="false" outlineLevel="0" collapsed="false">
      <c r="A20" s="7" t="s">
        <v>30</v>
      </c>
      <c r="B20" s="6" t="s">
        <v>31</v>
      </c>
    </row>
    <row r="21" customFormat="false" ht="15" hidden="false" customHeight="false" outlineLevel="0" collapsed="false">
      <c r="A21" s="7" t="s">
        <v>32</v>
      </c>
      <c r="B21" s="6" t="s">
        <v>33</v>
      </c>
    </row>
    <row r="22" customFormat="false" ht="15" hidden="false" customHeight="false" outlineLevel="0" collapsed="false">
      <c r="A22" s="7" t="s">
        <v>34</v>
      </c>
      <c r="B22" s="6" t="s">
        <v>35</v>
      </c>
    </row>
    <row r="23" customFormat="false" ht="15" hidden="false" customHeight="false" outlineLevel="0" collapsed="false">
      <c r="A23" s="7" t="s">
        <v>36</v>
      </c>
      <c r="B23" s="6" t="s">
        <v>37</v>
      </c>
    </row>
    <row r="24" customFormat="false" ht="15" hidden="false" customHeight="false" outlineLevel="0" collapsed="false">
      <c r="A24" s="7" t="s">
        <v>38</v>
      </c>
      <c r="B24" s="6" t="s">
        <v>39</v>
      </c>
    </row>
    <row r="25" customFormat="false" ht="15" hidden="false" customHeight="false" outlineLevel="0" collapsed="false">
      <c r="A25" s="7" t="s">
        <v>40</v>
      </c>
      <c r="B25" s="6" t="s">
        <v>41</v>
      </c>
    </row>
    <row r="26" customFormat="false" ht="15" hidden="false" customHeight="false" outlineLevel="0" collapsed="false">
      <c r="A26" s="7" t="s">
        <v>42</v>
      </c>
      <c r="B26" s="6" t="s">
        <v>43</v>
      </c>
    </row>
    <row r="27" customFormat="false" ht="15" hidden="false" customHeight="false" outlineLevel="0" collapsed="false">
      <c r="A27" s="7" t="s">
        <v>44</v>
      </c>
      <c r="B27" s="6" t="s">
        <v>45</v>
      </c>
    </row>
    <row r="28" customFormat="false" ht="15" hidden="false" customHeight="false" outlineLevel="0" collapsed="false">
      <c r="A28" s="7" t="s">
        <v>46</v>
      </c>
      <c r="B28" s="6" t="s">
        <v>47</v>
      </c>
    </row>
    <row r="29" customFormat="false" ht="15" hidden="false" customHeight="false" outlineLevel="0" collapsed="false">
      <c r="A29" s="7" t="s">
        <v>48</v>
      </c>
      <c r="B29" s="6" t="s">
        <v>49</v>
      </c>
    </row>
    <row r="30" customFormat="false" ht="15" hidden="false" customHeight="false" outlineLevel="0" collapsed="false">
      <c r="A30" s="7" t="s">
        <v>50</v>
      </c>
      <c r="B30" s="6" t="s">
        <v>51</v>
      </c>
    </row>
    <row r="31" customFormat="false" ht="15" hidden="false" customHeight="false" outlineLevel="0" collapsed="false">
      <c r="A31" s="7" t="s">
        <v>52</v>
      </c>
      <c r="B31" s="6" t="s">
        <v>53</v>
      </c>
    </row>
  </sheetData>
  <mergeCells count="1">
    <mergeCell ref="A2:B2"/>
  </mergeCells>
  <hyperlinks>
    <hyperlink ref="A16" r:id="rId1" location="'Ý%20tưởng%20đã%20cân%20nhắc'!A1" display="Ý tưởng đã cân nhắc"/>
    <hyperlink ref="A17" r:id="rId2" location="'Tổng%20quan'!A1" display="Tổng quan"/>
    <hyperlink ref="A18" r:id="rId3" location="'Công%20nghệ'!A1" display="Công nghệ"/>
    <hyperlink ref="A19" r:id="rId4" location="'Nghiệp%20vụ'!A1" display="Nghiệp vụ"/>
    <hyperlink ref="A20" r:id="rId5" location="'Logic%20nghiệp%20vụ'!A1" display="Logic nghiệp vụ"/>
    <hyperlink ref="A21" r:id="rId6" location="'Lộ%20trình'!A1" display="Lộ trình"/>
    <hyperlink ref="A22" r:id="rId7" location="'Checklist%20GĐ1'!A1" display="Checklist GĐ1"/>
    <hyperlink ref="A23" r:id="rId8" location="'Hạ%20tầng'!A1" display="Hạ tầng"/>
    <hyperlink ref="A24" r:id="rId9" location="'Kỹ%20thuật%20bổ%20sung'!A1" display="Kỹ thuật bổ sung"/>
    <hyperlink ref="A25" r:id="rId10" location="'Lưu%20trữ%20dữ%20liệu'!A1" display="Lưu trữ dữ liệu"/>
    <hyperlink ref="A26" r:id="rId11" location="'Cấu%20trúc%20code'!A1" display="Cấu trúc code"/>
    <hyperlink ref="A27" r:id="rId12" location="'Máy%20chủ'!A1" display="Máy chủ"/>
    <hyperlink ref="A28" r:id="rId13" location="'Cách%20làm'!A1" display="Cách làm"/>
    <hyperlink ref="A29" r:id="rId14" location="'ADR'!A1" display="ADR"/>
    <hyperlink ref="A30" r:id="rId15" location="'Lưu%20ý'!A1" display="Lưu ý"/>
    <hyperlink ref="A31" r:id="rId16" location="'Để%20sau'!A1" display="Để sa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70"/>
    <col collapsed="false" customWidth="true" hidden="false" outlineLevel="0" max="4" min="4" style="0" width="18"/>
  </cols>
  <sheetData>
    <row r="1" customFormat="false" ht="18" hidden="false" customHeight="true" outlineLevel="0" collapsed="false">
      <c r="A1" s="1" t="s">
        <v>54</v>
      </c>
    </row>
    <row r="2" customFormat="false" ht="31.5" hidden="false" customHeight="true" outlineLevel="0" collapsed="false">
      <c r="A2" s="2" t="s">
        <v>55</v>
      </c>
      <c r="B2" s="2"/>
      <c r="C2" s="2"/>
      <c r="D2" s="2"/>
    </row>
    <row r="4" customFormat="false" ht="15" hidden="false" customHeight="true" outlineLevel="0" collapsed="false">
      <c r="A4" s="5" t="s">
        <v>56</v>
      </c>
      <c r="B4" s="5" t="s">
        <v>57</v>
      </c>
      <c r="C4" s="5" t="s">
        <v>58</v>
      </c>
      <c r="D4" s="5" t="s">
        <v>59</v>
      </c>
    </row>
    <row r="5" customFormat="false" ht="15" hidden="false" customHeight="true" outlineLevel="0" collapsed="false">
      <c r="A5" s="6" t="s">
        <v>60</v>
      </c>
      <c r="B5" s="6" t="s">
        <v>61</v>
      </c>
      <c r="C5" s="6" t="s">
        <v>62</v>
      </c>
      <c r="D5" s="6" t="s">
        <v>63</v>
      </c>
    </row>
    <row r="6" customFormat="false" ht="23.25" hidden="false" customHeight="true" outlineLevel="0" collapsed="false">
      <c r="A6" s="6" t="s">
        <v>60</v>
      </c>
      <c r="B6" s="6" t="s">
        <v>64</v>
      </c>
      <c r="C6" s="6" t="s">
        <v>65</v>
      </c>
      <c r="D6" s="6" t="s">
        <v>63</v>
      </c>
    </row>
    <row r="7" customFormat="false" ht="15" hidden="false" customHeight="true" outlineLevel="0" collapsed="false">
      <c r="A7" s="6" t="s">
        <v>60</v>
      </c>
      <c r="B7" s="6" t="s">
        <v>66</v>
      </c>
      <c r="C7" s="6" t="s">
        <v>67</v>
      </c>
      <c r="D7" s="6" t="s">
        <v>68</v>
      </c>
    </row>
    <row r="8" customFormat="false" ht="15" hidden="false" customHeight="true" outlineLevel="0" collapsed="false">
      <c r="A8" s="6" t="s">
        <v>60</v>
      </c>
      <c r="B8" s="6" t="s">
        <v>69</v>
      </c>
      <c r="C8" s="6" t="s">
        <v>70</v>
      </c>
      <c r="D8" s="6" t="s">
        <v>63</v>
      </c>
    </row>
    <row r="9" customFormat="false" ht="23.25" hidden="false" customHeight="true" outlineLevel="0" collapsed="false">
      <c r="A9" s="6" t="s">
        <v>60</v>
      </c>
      <c r="B9" s="6" t="s">
        <v>71</v>
      </c>
      <c r="C9" s="6" t="s">
        <v>72</v>
      </c>
      <c r="D9" s="6" t="s">
        <v>73</v>
      </c>
    </row>
    <row r="10" customFormat="false" ht="15" hidden="false" customHeight="true" outlineLevel="0" collapsed="false">
      <c r="A10" s="6" t="s">
        <v>60</v>
      </c>
      <c r="B10" s="6" t="s">
        <v>74</v>
      </c>
      <c r="C10" s="6" t="s">
        <v>75</v>
      </c>
      <c r="D10" s="6" t="s">
        <v>73</v>
      </c>
    </row>
    <row r="11" customFormat="false" ht="15" hidden="false" customHeight="true" outlineLevel="0" collapsed="false">
      <c r="A11" s="6" t="s">
        <v>60</v>
      </c>
      <c r="B11" s="6" t="s">
        <v>76</v>
      </c>
      <c r="C11" s="6" t="s">
        <v>77</v>
      </c>
      <c r="D11" s="6" t="s">
        <v>73</v>
      </c>
    </row>
    <row r="12" customFormat="false" ht="15" hidden="false" customHeight="true" outlineLevel="0" collapsed="false">
      <c r="A12" s="6" t="s">
        <v>60</v>
      </c>
      <c r="B12" s="6" t="s">
        <v>78</v>
      </c>
      <c r="C12" s="6" t="s">
        <v>79</v>
      </c>
      <c r="D12" s="6" t="s">
        <v>73</v>
      </c>
    </row>
    <row r="13" customFormat="false" ht="15" hidden="false" customHeight="true" outlineLevel="0" collapsed="false">
      <c r="A13" s="6" t="s">
        <v>80</v>
      </c>
      <c r="B13" s="6" t="s">
        <v>81</v>
      </c>
      <c r="C13" s="6" t="s">
        <v>82</v>
      </c>
      <c r="D13" s="6" t="s">
        <v>73</v>
      </c>
    </row>
    <row r="14" customFormat="false" ht="23.25" hidden="false" customHeight="true" outlineLevel="0" collapsed="false">
      <c r="A14" s="6" t="s">
        <v>80</v>
      </c>
      <c r="B14" s="6" t="s">
        <v>83</v>
      </c>
      <c r="C14" s="6" t="s">
        <v>84</v>
      </c>
      <c r="D14" s="6" t="s">
        <v>85</v>
      </c>
    </row>
    <row r="15" customFormat="false" ht="15" hidden="false" customHeight="true" outlineLevel="0" collapsed="false">
      <c r="A15" s="6" t="s">
        <v>80</v>
      </c>
      <c r="B15" s="6" t="s">
        <v>86</v>
      </c>
      <c r="C15" s="6" t="s">
        <v>87</v>
      </c>
      <c r="D15" s="6" t="s">
        <v>73</v>
      </c>
    </row>
    <row r="16" customFormat="false" ht="23.25" hidden="false" customHeight="true" outlineLevel="0" collapsed="false">
      <c r="A16" s="6" t="s">
        <v>80</v>
      </c>
      <c r="B16" s="6" t="s">
        <v>88</v>
      </c>
      <c r="C16" s="6" t="s">
        <v>89</v>
      </c>
      <c r="D16" s="6" t="s">
        <v>90</v>
      </c>
    </row>
    <row r="17" customFormat="false" ht="15" hidden="false" customHeight="true" outlineLevel="0" collapsed="false">
      <c r="A17" s="6" t="s">
        <v>80</v>
      </c>
      <c r="B17" s="6" t="s">
        <v>91</v>
      </c>
      <c r="C17" s="6" t="s">
        <v>92</v>
      </c>
      <c r="D17" s="6" t="s">
        <v>85</v>
      </c>
    </row>
    <row r="18" customFormat="false" ht="15" hidden="false" customHeight="true" outlineLevel="0" collapsed="false">
      <c r="A18" s="6" t="s">
        <v>80</v>
      </c>
      <c r="B18" s="6" t="s">
        <v>93</v>
      </c>
      <c r="C18" s="6" t="s">
        <v>94</v>
      </c>
      <c r="D18" s="6" t="s">
        <v>73</v>
      </c>
    </row>
    <row r="19" customFormat="false" ht="15" hidden="false" customHeight="true" outlineLevel="0" collapsed="false">
      <c r="A19" s="6" t="s">
        <v>80</v>
      </c>
      <c r="B19" s="6" t="s">
        <v>95</v>
      </c>
      <c r="C19" s="6" t="s">
        <v>96</v>
      </c>
      <c r="D19" s="6" t="s">
        <v>73</v>
      </c>
    </row>
    <row r="20" customFormat="false" ht="23.25" hidden="false" customHeight="true" outlineLevel="0" collapsed="false">
      <c r="A20" s="6" t="s">
        <v>97</v>
      </c>
      <c r="B20" s="6" t="s">
        <v>98</v>
      </c>
      <c r="C20" s="6" t="s">
        <v>99</v>
      </c>
      <c r="D20" s="6" t="s">
        <v>85</v>
      </c>
    </row>
    <row r="21" customFormat="false" ht="23.25" hidden="false" customHeight="true" outlineLevel="0" collapsed="false">
      <c r="A21" s="6" t="s">
        <v>97</v>
      </c>
      <c r="B21" s="6" t="s">
        <v>100</v>
      </c>
      <c r="C21" s="6" t="s">
        <v>101</v>
      </c>
      <c r="D21" s="6" t="s">
        <v>102</v>
      </c>
    </row>
    <row r="22" customFormat="false" ht="23.25" hidden="false" customHeight="true" outlineLevel="0" collapsed="false">
      <c r="A22" s="6" t="s">
        <v>103</v>
      </c>
      <c r="B22" s="6" t="s">
        <v>104</v>
      </c>
      <c r="C22" s="6" t="s">
        <v>105</v>
      </c>
      <c r="D22" s="6" t="s">
        <v>106</v>
      </c>
    </row>
    <row r="23" customFormat="false" ht="23.25" hidden="false" customHeight="true" outlineLevel="0" collapsed="false">
      <c r="A23" s="8" t="s">
        <v>107</v>
      </c>
      <c r="B23" s="8" t="s">
        <v>108</v>
      </c>
      <c r="C23" s="8" t="s">
        <v>109</v>
      </c>
      <c r="D23" s="8" t="s">
        <v>110</v>
      </c>
    </row>
  </sheetData>
  <autoFilter ref="A4:D23"/>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8" hidden="false" customHeight="true" outlineLevel="0" collapsed="false">
      <c r="A1" s="1" t="s">
        <v>111</v>
      </c>
    </row>
    <row r="3" customFormat="false" ht="15" hidden="false" customHeight="true" outlineLevel="0" collapsed="false">
      <c r="A3" s="3" t="s">
        <v>112</v>
      </c>
      <c r="B3" s="4"/>
    </row>
    <row r="4" customFormat="false" ht="15" hidden="false" customHeight="true" outlineLevel="0" collapsed="false">
      <c r="A4" s="5" t="s">
        <v>113</v>
      </c>
      <c r="B4" s="5" t="s">
        <v>21</v>
      </c>
    </row>
    <row r="5" customFormat="false" ht="15" hidden="false" customHeight="true" outlineLevel="0" collapsed="false">
      <c r="A5" s="6" t="s">
        <v>114</v>
      </c>
      <c r="B5" s="6" t="s">
        <v>115</v>
      </c>
    </row>
    <row r="6" customFormat="false" ht="15" hidden="false" customHeight="true" outlineLevel="0" collapsed="false">
      <c r="A6" s="6" t="s">
        <v>116</v>
      </c>
      <c r="B6" s="6" t="s">
        <v>117</v>
      </c>
    </row>
    <row r="7" customFormat="false" ht="15" hidden="false" customHeight="true" outlineLevel="0" collapsed="false">
      <c r="A7" s="6" t="s">
        <v>118</v>
      </c>
      <c r="B7" s="6" t="s">
        <v>119</v>
      </c>
    </row>
    <row r="8" customFormat="false" ht="15" hidden="false" customHeight="true" outlineLevel="0" collapsed="false">
      <c r="A8" s="6" t="s">
        <v>120</v>
      </c>
      <c r="B8" s="6" t="s">
        <v>121</v>
      </c>
    </row>
    <row r="9" customFormat="false" ht="15" hidden="false" customHeight="true" outlineLevel="0" collapsed="false">
      <c r="A9" s="6" t="s">
        <v>122</v>
      </c>
      <c r="B9" s="6" t="s">
        <v>123</v>
      </c>
    </row>
    <row r="10" customFormat="false" ht="15" hidden="false" customHeight="true" outlineLevel="0" collapsed="false">
      <c r="A10" s="6" t="s">
        <v>124</v>
      </c>
      <c r="B10" s="6" t="s">
        <v>125</v>
      </c>
    </row>
    <row r="12" customFormat="false" ht="15" hidden="false" customHeight="true" outlineLevel="0" collapsed="false">
      <c r="A12" s="3" t="s">
        <v>126</v>
      </c>
      <c r="B12" s="4"/>
    </row>
    <row r="13" customFormat="false" ht="15" hidden="false" customHeight="true" outlineLevel="0" collapsed="false">
      <c r="A13" s="5" t="s">
        <v>127</v>
      </c>
      <c r="B13" s="5" t="s">
        <v>128</v>
      </c>
    </row>
    <row r="14" customFormat="false" ht="23.25" hidden="false" customHeight="true" outlineLevel="0" collapsed="false">
      <c r="A14" s="6" t="s">
        <v>129</v>
      </c>
      <c r="B14" s="6" t="s">
        <v>130</v>
      </c>
    </row>
    <row r="15" customFormat="false" ht="15" hidden="false" customHeight="true" outlineLevel="0" collapsed="false">
      <c r="A15" s="6" t="s">
        <v>131</v>
      </c>
      <c r="B15" s="6" t="s">
        <v>132</v>
      </c>
    </row>
    <row r="16" customFormat="false" ht="15" hidden="false" customHeight="true" outlineLevel="0" collapsed="false">
      <c r="A16" s="6" t="s">
        <v>133</v>
      </c>
      <c r="B16" s="6" t="s">
        <v>134</v>
      </c>
    </row>
    <row r="18" customFormat="false" ht="15" hidden="false" customHeight="true" outlineLevel="0" collapsed="false">
      <c r="A18" s="3" t="s">
        <v>68</v>
      </c>
      <c r="B18" s="4"/>
    </row>
    <row r="19" customFormat="false" ht="15" hidden="false" customHeight="true" outlineLevel="0" collapsed="false">
      <c r="A19" s="5" t="s">
        <v>135</v>
      </c>
      <c r="B19" s="5" t="s">
        <v>136</v>
      </c>
    </row>
    <row r="20" customFormat="false" ht="23.25" hidden="false" customHeight="true" outlineLevel="0" collapsed="false">
      <c r="A20" s="6" t="s">
        <v>137</v>
      </c>
      <c r="B20" s="6"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80"/>
    <col collapsed="false" customWidth="true" hidden="false" outlineLevel="0" max="4" min="4" style="0" width="12"/>
  </cols>
  <sheetData>
    <row r="1" customFormat="false" ht="18.55" hidden="false" customHeight="false" outlineLevel="0" collapsed="false">
      <c r="A1" s="1" t="s">
        <v>139</v>
      </c>
    </row>
    <row r="2" customFormat="false" ht="30" hidden="false" customHeight="true" outlineLevel="0" collapsed="false">
      <c r="A2" s="2" t="s">
        <v>140</v>
      </c>
      <c r="B2" s="2"/>
      <c r="C2" s="2"/>
      <c r="D2" s="2"/>
    </row>
    <row r="4" customFormat="false" ht="15" hidden="false" customHeight="false" outlineLevel="0" collapsed="false">
      <c r="A4" s="5" t="s">
        <v>127</v>
      </c>
      <c r="B4" s="5" t="s">
        <v>26</v>
      </c>
      <c r="C4" s="5" t="s">
        <v>141</v>
      </c>
      <c r="D4" s="5" t="s">
        <v>142</v>
      </c>
    </row>
    <row r="5" customFormat="false" ht="23.85" hidden="false" customHeight="false" outlineLevel="0" collapsed="false">
      <c r="A5" s="6" t="s">
        <v>143</v>
      </c>
      <c r="B5" s="6" t="s">
        <v>144</v>
      </c>
      <c r="C5" s="6" t="s">
        <v>145</v>
      </c>
      <c r="D5" s="6" t="s">
        <v>146</v>
      </c>
    </row>
    <row r="6" customFormat="false" ht="15" hidden="false" customHeight="false" outlineLevel="0" collapsed="false">
      <c r="A6" s="6" t="s">
        <v>143</v>
      </c>
      <c r="B6" s="6" t="s">
        <v>147</v>
      </c>
      <c r="C6" s="6" t="s">
        <v>148</v>
      </c>
      <c r="D6" s="6" t="s">
        <v>146</v>
      </c>
    </row>
    <row r="7" customFormat="false" ht="15" hidden="false" customHeight="false" outlineLevel="0" collapsed="false">
      <c r="A7" s="6" t="s">
        <v>149</v>
      </c>
      <c r="B7" s="6" t="s">
        <v>150</v>
      </c>
      <c r="C7" s="6" t="s">
        <v>151</v>
      </c>
      <c r="D7" s="6" t="s">
        <v>146</v>
      </c>
    </row>
    <row r="8" customFormat="false" ht="15" hidden="false" customHeight="false" outlineLevel="0" collapsed="false">
      <c r="A8" s="6" t="s">
        <v>149</v>
      </c>
      <c r="B8" s="6" t="s">
        <v>152</v>
      </c>
      <c r="C8" s="6" t="s">
        <v>153</v>
      </c>
      <c r="D8" s="6" t="s">
        <v>146</v>
      </c>
    </row>
    <row r="9" customFormat="false" ht="35.05" hidden="false" customHeight="false" outlineLevel="0" collapsed="false">
      <c r="A9" s="6" t="s">
        <v>154</v>
      </c>
      <c r="B9" s="6" t="s">
        <v>155</v>
      </c>
      <c r="C9" s="6" t="s">
        <v>156</v>
      </c>
      <c r="D9" s="6" t="s">
        <v>146</v>
      </c>
    </row>
    <row r="10" customFormat="false" ht="23.85" hidden="false" customHeight="false" outlineLevel="0" collapsed="false">
      <c r="A10" s="6" t="s">
        <v>157</v>
      </c>
      <c r="B10" s="6" t="s">
        <v>158</v>
      </c>
      <c r="C10" s="6" t="s">
        <v>159</v>
      </c>
      <c r="D10" s="6" t="s">
        <v>146</v>
      </c>
    </row>
    <row r="11" customFormat="false" ht="23.85" hidden="false" customHeight="false" outlineLevel="0" collapsed="false">
      <c r="A11" s="6" t="s">
        <v>157</v>
      </c>
      <c r="B11" s="6" t="s">
        <v>160</v>
      </c>
      <c r="C11" s="6" t="s">
        <v>161</v>
      </c>
      <c r="D11" s="6" t="s">
        <v>146</v>
      </c>
    </row>
    <row r="12" customFormat="false" ht="15" hidden="false" customHeight="false" outlineLevel="0" collapsed="false">
      <c r="A12" s="6" t="s">
        <v>157</v>
      </c>
      <c r="B12" s="6" t="s">
        <v>162</v>
      </c>
      <c r="C12" s="6" t="s">
        <v>163</v>
      </c>
      <c r="D12" s="6" t="s">
        <v>146</v>
      </c>
    </row>
    <row r="13" customFormat="false" ht="15" hidden="false" customHeight="false" outlineLevel="0" collapsed="false">
      <c r="A13" s="6" t="s">
        <v>157</v>
      </c>
      <c r="B13" s="6" t="s">
        <v>164</v>
      </c>
      <c r="C13" s="6" t="s">
        <v>165</v>
      </c>
      <c r="D13" s="6" t="s">
        <v>166</v>
      </c>
    </row>
    <row r="14" customFormat="false" ht="15" hidden="false" customHeight="false" outlineLevel="0" collapsed="false">
      <c r="A14" s="6" t="s">
        <v>157</v>
      </c>
      <c r="B14" s="6" t="s">
        <v>167</v>
      </c>
      <c r="C14" s="6" t="s">
        <v>168</v>
      </c>
      <c r="D14" s="6" t="s">
        <v>169</v>
      </c>
    </row>
    <row r="15" customFormat="false" ht="23.85" hidden="false" customHeight="false" outlineLevel="0" collapsed="false">
      <c r="A15" s="6" t="s">
        <v>170</v>
      </c>
      <c r="B15" s="6" t="s">
        <v>171</v>
      </c>
      <c r="C15" s="6" t="s">
        <v>172</v>
      </c>
      <c r="D15" s="6" t="s">
        <v>146</v>
      </c>
    </row>
    <row r="16" customFormat="false" ht="15" hidden="false" customHeight="false" outlineLevel="0" collapsed="false">
      <c r="A16" s="6" t="s">
        <v>173</v>
      </c>
      <c r="B16" s="6" t="s">
        <v>174</v>
      </c>
      <c r="C16" s="6" t="s">
        <v>175</v>
      </c>
      <c r="D16" s="6" t="s">
        <v>166</v>
      </c>
    </row>
    <row r="17" customFormat="false" ht="15" hidden="false" customHeight="false" outlineLevel="0" collapsed="false">
      <c r="A17" s="6" t="s">
        <v>176</v>
      </c>
      <c r="B17" s="6" t="s">
        <v>177</v>
      </c>
      <c r="C17" s="6" t="s">
        <v>178</v>
      </c>
      <c r="D17" s="6" t="s">
        <v>166</v>
      </c>
    </row>
    <row r="18" customFormat="false" ht="23.85" hidden="false" customHeight="false" outlineLevel="0" collapsed="false">
      <c r="A18" s="6" t="s">
        <v>179</v>
      </c>
      <c r="B18" s="6" t="s">
        <v>180</v>
      </c>
      <c r="C18" s="6" t="s">
        <v>181</v>
      </c>
      <c r="D18" s="6" t="s">
        <v>166</v>
      </c>
    </row>
    <row r="19" customFormat="false" ht="15" hidden="false" customHeight="false" outlineLevel="0" collapsed="false">
      <c r="A19" s="6" t="s">
        <v>182</v>
      </c>
      <c r="B19" s="6" t="s">
        <v>183</v>
      </c>
      <c r="C19" s="6" t="s">
        <v>184</v>
      </c>
      <c r="D19" s="6" t="s">
        <v>166</v>
      </c>
    </row>
    <row r="20" customFormat="false" ht="15" hidden="false" customHeight="false" outlineLevel="0" collapsed="false">
      <c r="A20" s="6" t="s">
        <v>185</v>
      </c>
      <c r="B20" s="6" t="s">
        <v>186</v>
      </c>
      <c r="C20" s="6" t="s">
        <v>187</v>
      </c>
      <c r="D20" s="6" t="s">
        <v>188</v>
      </c>
    </row>
    <row r="21" customFormat="false" ht="23.85" hidden="false" customHeight="false" outlineLevel="0" collapsed="false">
      <c r="A21" s="6" t="s">
        <v>189</v>
      </c>
      <c r="B21" s="6" t="s">
        <v>190</v>
      </c>
      <c r="C21" s="6" t="s">
        <v>191</v>
      </c>
      <c r="D21" s="6" t="s">
        <v>192</v>
      </c>
    </row>
    <row r="22" customFormat="false" ht="15" hidden="false" customHeight="false" outlineLevel="0" collapsed="false">
      <c r="A22" s="6" t="s">
        <v>189</v>
      </c>
      <c r="B22" s="6" t="s">
        <v>193</v>
      </c>
      <c r="C22" s="6" t="s">
        <v>194</v>
      </c>
      <c r="D22" s="6" t="s">
        <v>192</v>
      </c>
    </row>
    <row r="23" customFormat="false" ht="15" hidden="false" customHeight="false" outlineLevel="0" collapsed="false">
      <c r="A23" s="6" t="s">
        <v>195</v>
      </c>
      <c r="B23" s="6" t="s">
        <v>196</v>
      </c>
      <c r="C23" s="6" t="s">
        <v>197</v>
      </c>
      <c r="D23" s="6" t="s">
        <v>146</v>
      </c>
    </row>
    <row r="24" customFormat="false" ht="15" hidden="false" customHeight="false" outlineLevel="0" collapsed="false">
      <c r="A24" s="6" t="s">
        <v>195</v>
      </c>
      <c r="B24" s="6" t="s">
        <v>198</v>
      </c>
      <c r="C24" s="6" t="s">
        <v>199</v>
      </c>
      <c r="D24" s="6" t="s">
        <v>200</v>
      </c>
    </row>
    <row r="25" customFormat="false" ht="15" hidden="false" customHeight="false" outlineLevel="0" collapsed="false">
      <c r="A25" s="6" t="s">
        <v>201</v>
      </c>
      <c r="B25" s="6" t="s">
        <v>202</v>
      </c>
      <c r="C25" s="6" t="s">
        <v>203</v>
      </c>
      <c r="D25" s="6" t="s">
        <v>204</v>
      </c>
    </row>
  </sheetData>
  <autoFilter ref="A4:D25"/>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70"/>
  </cols>
  <sheetData>
    <row r="1" customFormat="false" ht="18" hidden="false" customHeight="true" outlineLevel="0" collapsed="false">
      <c r="A1" s="1" t="s">
        <v>205</v>
      </c>
    </row>
    <row r="2" customFormat="false" ht="31.5" hidden="false" customHeight="true" outlineLevel="0" collapsed="false">
      <c r="A2" s="2" t="s">
        <v>206</v>
      </c>
      <c r="B2" s="2"/>
      <c r="C2" s="2"/>
    </row>
    <row r="4" customFormat="false" ht="15" hidden="false" customHeight="true" outlineLevel="0" collapsed="false">
      <c r="A4" s="5" t="s">
        <v>207</v>
      </c>
      <c r="B4" s="5" t="s">
        <v>28</v>
      </c>
      <c r="C4" s="5" t="s">
        <v>136</v>
      </c>
    </row>
    <row r="5" customFormat="false" ht="15" hidden="false" customHeight="true" outlineLevel="0" collapsed="false">
      <c r="A5" s="6" t="s">
        <v>208</v>
      </c>
      <c r="B5" s="6" t="s">
        <v>209</v>
      </c>
      <c r="C5" s="6" t="s">
        <v>210</v>
      </c>
    </row>
    <row r="6" customFormat="false" ht="15" hidden="false" customHeight="true" outlineLevel="0" collapsed="false">
      <c r="A6" s="6" t="s">
        <v>208</v>
      </c>
      <c r="B6" s="6" t="s">
        <v>211</v>
      </c>
      <c r="C6" s="6" t="s">
        <v>212</v>
      </c>
    </row>
    <row r="7" customFormat="false" ht="15" hidden="false" customHeight="true" outlineLevel="0" collapsed="false">
      <c r="A7" s="6" t="s">
        <v>208</v>
      </c>
      <c r="B7" s="6" t="s">
        <v>213</v>
      </c>
      <c r="C7" s="6" t="s">
        <v>214</v>
      </c>
    </row>
    <row r="8" customFormat="false" ht="15" hidden="false" customHeight="true" outlineLevel="0" collapsed="false">
      <c r="A8" s="6" t="s">
        <v>208</v>
      </c>
      <c r="B8" s="6" t="s">
        <v>215</v>
      </c>
      <c r="C8" s="6" t="s">
        <v>216</v>
      </c>
    </row>
    <row r="9" customFormat="false" ht="15" hidden="false" customHeight="true" outlineLevel="0" collapsed="false">
      <c r="A9" s="6" t="s">
        <v>208</v>
      </c>
      <c r="B9" s="6" t="s">
        <v>217</v>
      </c>
      <c r="C9" s="6" t="s">
        <v>218</v>
      </c>
    </row>
    <row r="10" customFormat="false" ht="15" hidden="false" customHeight="true" outlineLevel="0" collapsed="false">
      <c r="A10" s="6" t="s">
        <v>219</v>
      </c>
      <c r="B10" s="6" t="s">
        <v>220</v>
      </c>
      <c r="C10" s="6" t="s">
        <v>221</v>
      </c>
    </row>
    <row r="11" customFormat="false" ht="15" hidden="false" customHeight="true" outlineLevel="0" collapsed="false">
      <c r="A11" s="6" t="s">
        <v>219</v>
      </c>
      <c r="B11" s="6" t="s">
        <v>222</v>
      </c>
      <c r="C11" s="6" t="s">
        <v>223</v>
      </c>
    </row>
    <row r="12" customFormat="false" ht="15" hidden="false" customHeight="true" outlineLevel="0" collapsed="false">
      <c r="A12" s="6" t="s">
        <v>219</v>
      </c>
      <c r="B12" s="6" t="s">
        <v>224</v>
      </c>
      <c r="C12" s="6" t="s">
        <v>225</v>
      </c>
    </row>
    <row r="13" customFormat="false" ht="15" hidden="false" customHeight="true" outlineLevel="0" collapsed="false">
      <c r="A13" s="6" t="s">
        <v>226</v>
      </c>
      <c r="B13" s="6" t="s">
        <v>227</v>
      </c>
      <c r="C13" s="6" t="s">
        <v>228</v>
      </c>
    </row>
    <row r="14" customFormat="false" ht="15" hidden="false" customHeight="true" outlineLevel="0" collapsed="false">
      <c r="A14" s="6" t="s">
        <v>226</v>
      </c>
      <c r="B14" s="6" t="s">
        <v>229</v>
      </c>
      <c r="C14" s="6" t="s">
        <v>230</v>
      </c>
    </row>
    <row r="15" customFormat="false" ht="15" hidden="false" customHeight="true" outlineLevel="0" collapsed="false">
      <c r="A15" s="6" t="s">
        <v>226</v>
      </c>
      <c r="B15" s="6" t="s">
        <v>231</v>
      </c>
      <c r="C15" s="6" t="s">
        <v>232</v>
      </c>
    </row>
    <row r="16" customFormat="false" ht="15" hidden="false" customHeight="true" outlineLevel="0" collapsed="false">
      <c r="A16" s="6" t="s">
        <v>226</v>
      </c>
      <c r="B16" s="6" t="s">
        <v>233</v>
      </c>
      <c r="C16" s="6" t="s">
        <v>234</v>
      </c>
    </row>
    <row r="17" customFormat="false" ht="15" hidden="false" customHeight="true" outlineLevel="0" collapsed="false">
      <c r="A17" s="6" t="s">
        <v>176</v>
      </c>
      <c r="B17" s="6" t="s">
        <v>235</v>
      </c>
      <c r="C17" s="6" t="s">
        <v>236</v>
      </c>
    </row>
    <row r="18" customFormat="false" ht="15" hidden="false" customHeight="true" outlineLevel="0" collapsed="false">
      <c r="A18" s="6" t="s">
        <v>176</v>
      </c>
      <c r="B18" s="6" t="s">
        <v>237</v>
      </c>
      <c r="C18" s="6" t="s">
        <v>238</v>
      </c>
    </row>
    <row r="19" customFormat="false" ht="15" hidden="false" customHeight="true" outlineLevel="0" collapsed="false">
      <c r="A19" s="6" t="s">
        <v>176</v>
      </c>
      <c r="B19" s="6" t="s">
        <v>239</v>
      </c>
      <c r="C19" s="6" t="s">
        <v>240</v>
      </c>
    </row>
    <row r="20" customFormat="false" ht="15" hidden="false" customHeight="true" outlineLevel="0" collapsed="false">
      <c r="A20" s="6" t="s">
        <v>176</v>
      </c>
      <c r="B20" s="6" t="s">
        <v>241</v>
      </c>
      <c r="C20" s="6" t="s">
        <v>242</v>
      </c>
    </row>
  </sheetData>
  <autoFilter ref="A4:C20"/>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3" min="2" style="0" width="48"/>
  </cols>
  <sheetData>
    <row r="1" customFormat="false" ht="18" hidden="false" customHeight="true" outlineLevel="0" collapsed="false">
      <c r="A1" s="1" t="s">
        <v>243</v>
      </c>
    </row>
    <row r="2" customFormat="false" ht="31.5" hidden="false" customHeight="true" outlineLevel="0" collapsed="false">
      <c r="A2" s="2" t="s">
        <v>244</v>
      </c>
      <c r="B2" s="2"/>
      <c r="C2" s="2"/>
    </row>
    <row r="4" customFormat="false" ht="15" hidden="false" customHeight="true" outlineLevel="0" collapsed="false">
      <c r="A4" s="3" t="s">
        <v>245</v>
      </c>
      <c r="B4" s="4"/>
      <c r="C4" s="4"/>
    </row>
    <row r="5" customFormat="false" ht="15" hidden="false" customHeight="true" outlineLevel="0" collapsed="false">
      <c r="A5" s="5" t="s">
        <v>246</v>
      </c>
      <c r="B5" s="5" t="s">
        <v>247</v>
      </c>
      <c r="C5" s="5" t="s">
        <v>248</v>
      </c>
    </row>
    <row r="6" customFormat="false" ht="15" hidden="false" customHeight="true" outlineLevel="0" collapsed="false">
      <c r="A6" s="6" t="s">
        <v>249</v>
      </c>
      <c r="B6" s="6" t="s">
        <v>250</v>
      </c>
      <c r="C6" s="6" t="s">
        <v>251</v>
      </c>
    </row>
    <row r="7" customFormat="false" ht="15" hidden="false" customHeight="true" outlineLevel="0" collapsed="false">
      <c r="A7" s="6" t="s">
        <v>213</v>
      </c>
      <c r="B7" s="6" t="s">
        <v>252</v>
      </c>
      <c r="C7" s="6" t="s">
        <v>253</v>
      </c>
    </row>
    <row r="8" customFormat="false" ht="15" hidden="false" customHeight="true" outlineLevel="0" collapsed="false">
      <c r="A8" s="6" t="s">
        <v>209</v>
      </c>
      <c r="B8" s="6" t="s">
        <v>254</v>
      </c>
      <c r="C8" s="6" t="s">
        <v>255</v>
      </c>
    </row>
    <row r="9" customFormat="false" ht="23.25" hidden="false" customHeight="true" outlineLevel="0" collapsed="false">
      <c r="A9" s="6" t="s">
        <v>256</v>
      </c>
      <c r="B9" s="6" t="s">
        <v>257</v>
      </c>
      <c r="C9" s="6" t="s">
        <v>258</v>
      </c>
    </row>
    <row r="10" customFormat="false" ht="15" hidden="false" customHeight="true" outlineLevel="0" collapsed="false">
      <c r="A10" s="6" t="s">
        <v>259</v>
      </c>
      <c r="B10" s="6" t="s">
        <v>260</v>
      </c>
      <c r="C10" s="6" t="s">
        <v>261</v>
      </c>
    </row>
    <row r="11" customFormat="false" ht="15" hidden="false" customHeight="true" outlineLevel="0" collapsed="false">
      <c r="A11" s="6" t="s">
        <v>262</v>
      </c>
      <c r="B11" s="6" t="s">
        <v>263</v>
      </c>
      <c r="C11" s="6" t="s">
        <v>264</v>
      </c>
    </row>
    <row r="12" customFormat="false" ht="15" hidden="false" customHeight="true" outlineLevel="0" collapsed="false">
      <c r="A12" s="6" t="s">
        <v>265</v>
      </c>
      <c r="B12" s="6" t="s">
        <v>266</v>
      </c>
      <c r="C12" s="6" t="s">
        <v>267</v>
      </c>
    </row>
    <row r="14" customFormat="false" ht="15" hidden="false" customHeight="true" outlineLevel="0" collapsed="false">
      <c r="A14" s="3" t="s">
        <v>268</v>
      </c>
      <c r="B14" s="4"/>
      <c r="C14" s="4"/>
    </row>
    <row r="15" customFormat="false" ht="15" hidden="false" customHeight="true" outlineLevel="0" collapsed="false">
      <c r="A15" s="5" t="s">
        <v>269</v>
      </c>
      <c r="B15" s="5" t="s">
        <v>270</v>
      </c>
      <c r="C15" s="5" t="s">
        <v>271</v>
      </c>
    </row>
    <row r="16" customFormat="false" ht="15" hidden="false" customHeight="true" outlineLevel="0" collapsed="false">
      <c r="A16" s="6" t="s">
        <v>272</v>
      </c>
      <c r="B16" s="6" t="s">
        <v>273</v>
      </c>
      <c r="C16" s="6" t="s">
        <v>274</v>
      </c>
    </row>
    <row r="17" customFormat="false" ht="23.25" hidden="false" customHeight="true" outlineLevel="0" collapsed="false">
      <c r="A17" s="6" t="s">
        <v>275</v>
      </c>
      <c r="B17" s="6" t="s">
        <v>276</v>
      </c>
      <c r="C17" s="6" t="s">
        <v>277</v>
      </c>
    </row>
    <row r="18" customFormat="false" ht="15" hidden="false" customHeight="true" outlineLevel="0" collapsed="false">
      <c r="A18" s="6" t="s">
        <v>278</v>
      </c>
      <c r="B18" s="6" t="s">
        <v>279</v>
      </c>
      <c r="C18" s="6" t="s">
        <v>280</v>
      </c>
    </row>
    <row r="19" customFormat="false" ht="15" hidden="false" customHeight="true" outlineLevel="0" collapsed="false">
      <c r="A19" s="6" t="s">
        <v>281</v>
      </c>
      <c r="B19" s="6" t="s">
        <v>282</v>
      </c>
      <c r="C19" s="6" t="s">
        <v>283</v>
      </c>
    </row>
    <row r="21" customFormat="false" ht="15" hidden="false" customHeight="true" outlineLevel="0" collapsed="false">
      <c r="A21" s="3" t="s">
        <v>284</v>
      </c>
      <c r="B21" s="4"/>
      <c r="C21" s="4"/>
    </row>
    <row r="22" customFormat="false" ht="15" hidden="false" customHeight="true" outlineLevel="0" collapsed="false">
      <c r="A22" s="5" t="s">
        <v>285</v>
      </c>
      <c r="B22" s="5" t="s">
        <v>286</v>
      </c>
      <c r="C22" s="5" t="s">
        <v>287</v>
      </c>
    </row>
    <row r="23" customFormat="false" ht="23.25" hidden="false" customHeight="true" outlineLevel="0" collapsed="false">
      <c r="A23" s="6" t="s">
        <v>288</v>
      </c>
      <c r="B23" s="6" t="s">
        <v>289</v>
      </c>
      <c r="C23" s="6" t="s">
        <v>290</v>
      </c>
    </row>
    <row r="24" customFormat="false" ht="15" hidden="false" customHeight="true" outlineLevel="0" collapsed="false">
      <c r="A24" s="6" t="s">
        <v>291</v>
      </c>
      <c r="B24" s="6" t="s">
        <v>292</v>
      </c>
      <c r="C24" s="6" t="s">
        <v>293</v>
      </c>
    </row>
    <row r="25" customFormat="false" ht="23.25" hidden="false" customHeight="true" outlineLevel="0" collapsed="false">
      <c r="A25" s="6" t="s">
        <v>294</v>
      </c>
      <c r="B25" s="6" t="s">
        <v>295</v>
      </c>
      <c r="C25" s="6" t="s">
        <v>296</v>
      </c>
    </row>
    <row r="26" customFormat="false" ht="23.25" hidden="false" customHeight="true" outlineLevel="0" collapsed="false">
      <c r="A26" s="6" t="s">
        <v>297</v>
      </c>
      <c r="B26" s="6" t="s">
        <v>298</v>
      </c>
      <c r="C26" s="6" t="s">
        <v>299</v>
      </c>
    </row>
    <row r="27" customFormat="false" ht="23.25" hidden="false" customHeight="true" outlineLevel="0" collapsed="false">
      <c r="A27" s="6" t="s">
        <v>300</v>
      </c>
      <c r="B27" s="6" t="s">
        <v>301</v>
      </c>
      <c r="C27" s="6" t="s">
        <v>302</v>
      </c>
    </row>
    <row r="29" customFormat="false" ht="15" hidden="false" customHeight="true" outlineLevel="0" collapsed="false">
      <c r="A29" s="3" t="s">
        <v>303</v>
      </c>
      <c r="B29" s="4"/>
      <c r="C29" s="4"/>
    </row>
    <row r="30" customFormat="false" ht="15" hidden="false" customHeight="true" outlineLevel="0" collapsed="false">
      <c r="A30" s="5" t="s">
        <v>304</v>
      </c>
      <c r="B30" s="5" t="s">
        <v>294</v>
      </c>
      <c r="C30" s="5" t="s">
        <v>305</v>
      </c>
    </row>
    <row r="31" customFormat="false" ht="15" hidden="false" customHeight="true" outlineLevel="0" collapsed="false">
      <c r="A31" s="6" t="s">
        <v>306</v>
      </c>
      <c r="B31" s="6" t="s">
        <v>307</v>
      </c>
      <c r="C31" s="6" t="s">
        <v>308</v>
      </c>
    </row>
    <row r="32" customFormat="false" ht="15" hidden="false" customHeight="true" outlineLevel="0" collapsed="false">
      <c r="A32" s="6" t="s">
        <v>306</v>
      </c>
      <c r="B32" s="6" t="s">
        <v>309</v>
      </c>
      <c r="C32" s="6" t="s">
        <v>310</v>
      </c>
    </row>
    <row r="33" customFormat="false" ht="15" hidden="false" customHeight="true" outlineLevel="0" collapsed="false">
      <c r="A33" s="6" t="s">
        <v>306</v>
      </c>
      <c r="B33" s="6" t="s">
        <v>311</v>
      </c>
      <c r="C33" s="6" t="s">
        <v>312</v>
      </c>
    </row>
    <row r="34" customFormat="false" ht="15" hidden="false" customHeight="true" outlineLevel="0" collapsed="false">
      <c r="A34" s="6" t="s">
        <v>313</v>
      </c>
      <c r="B34" s="6" t="s">
        <v>314</v>
      </c>
      <c r="C34" s="6" t="s">
        <v>315</v>
      </c>
    </row>
    <row r="35" customFormat="false" ht="15" hidden="false" customHeight="true" outlineLevel="0" collapsed="false">
      <c r="A35" s="6" t="s">
        <v>313</v>
      </c>
      <c r="B35" s="6" t="s">
        <v>316</v>
      </c>
      <c r="C35" s="6" t="s">
        <v>317</v>
      </c>
    </row>
    <row r="36" customFormat="false" ht="15" hidden="false" customHeight="true" outlineLevel="0" collapsed="false">
      <c r="A36" s="6" t="s">
        <v>318</v>
      </c>
      <c r="B36" s="6" t="s">
        <v>319</v>
      </c>
      <c r="C36" s="6" t="s">
        <v>320</v>
      </c>
    </row>
    <row r="37" customFormat="false" ht="15" hidden="false" customHeight="true" outlineLevel="0" collapsed="false">
      <c r="A37" s="6" t="s">
        <v>318</v>
      </c>
      <c r="B37" s="6" t="s">
        <v>321</v>
      </c>
      <c r="C37" s="6" t="s">
        <v>322</v>
      </c>
    </row>
    <row r="38" customFormat="false" ht="15" hidden="false" customHeight="true" outlineLevel="0" collapsed="false">
      <c r="A38" s="6" t="s">
        <v>318</v>
      </c>
      <c r="B38" s="6" t="s">
        <v>323</v>
      </c>
      <c r="C38" s="6" t="s">
        <v>324</v>
      </c>
    </row>
    <row r="39" customFormat="false" ht="15" hidden="false" customHeight="true" outlineLevel="0" collapsed="false">
      <c r="A39" s="6" t="s">
        <v>325</v>
      </c>
      <c r="B39" s="6" t="s">
        <v>326</v>
      </c>
      <c r="C39" s="6" t="s">
        <v>327</v>
      </c>
    </row>
    <row r="40" customFormat="false" ht="15" hidden="false" customHeight="true" outlineLevel="0" collapsed="false">
      <c r="A40" s="6" t="s">
        <v>325</v>
      </c>
      <c r="B40" s="6" t="s">
        <v>328</v>
      </c>
      <c r="C40" s="6" t="s">
        <v>329</v>
      </c>
    </row>
    <row r="42" customFormat="false" ht="15" hidden="false" customHeight="true" outlineLevel="0" collapsed="false">
      <c r="A42" s="3" t="s">
        <v>330</v>
      </c>
      <c r="B42" s="4"/>
      <c r="C42" s="4"/>
    </row>
    <row r="43" customFormat="false" ht="15" hidden="false" customHeight="true" outlineLevel="0" collapsed="false">
      <c r="A43" s="5" t="s">
        <v>304</v>
      </c>
      <c r="B43" s="5" t="s">
        <v>331</v>
      </c>
      <c r="C43" s="5" t="s">
        <v>332</v>
      </c>
    </row>
    <row r="44" customFormat="false" ht="15" hidden="false" customHeight="true" outlineLevel="0" collapsed="false">
      <c r="A44" s="6" t="s">
        <v>333</v>
      </c>
      <c r="B44" s="6" t="s">
        <v>334</v>
      </c>
      <c r="C44" s="6" t="s">
        <v>335</v>
      </c>
    </row>
    <row r="45" customFormat="false" ht="15" hidden="false" customHeight="true" outlineLevel="0" collapsed="false">
      <c r="A45" s="6" t="s">
        <v>336</v>
      </c>
      <c r="B45" s="6" t="s">
        <v>337</v>
      </c>
      <c r="C45" s="6" t="s">
        <v>338</v>
      </c>
    </row>
    <row r="46" customFormat="false" ht="15" hidden="false" customHeight="true" outlineLevel="0" collapsed="false">
      <c r="A46" s="6" t="s">
        <v>339</v>
      </c>
      <c r="B46" s="6" t="s">
        <v>340</v>
      </c>
      <c r="C46" s="6" t="s">
        <v>341</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34"/>
    <col collapsed="false" customWidth="true" hidden="false" outlineLevel="0" max="4" min="4" style="0" width="38"/>
    <col collapsed="false" customWidth="true" hidden="false" outlineLevel="0" max="5" min="5" style="0" width="36"/>
    <col collapsed="false" customWidth="true" hidden="false" outlineLevel="0" max="6" min="6" style="0" width="52"/>
    <col collapsed="false" customWidth="true" hidden="false" outlineLevel="0" max="7" min="7" style="0" width="34"/>
    <col collapsed="false" customWidth="true" hidden="false" outlineLevel="0" max="8" min="8" style="0" width="15"/>
    <col collapsed="false" customWidth="true" hidden="false" outlineLevel="0" max="9" min="9" style="0" width="30"/>
  </cols>
  <sheetData>
    <row r="1" customFormat="false" ht="18.55" hidden="false" customHeight="false" outlineLevel="0" collapsed="false">
      <c r="A1" s="1" t="s">
        <v>342</v>
      </c>
    </row>
    <row r="2" customFormat="false" ht="30" hidden="false" customHeight="true" outlineLevel="0" collapsed="false">
      <c r="A2" s="2" t="s">
        <v>343</v>
      </c>
      <c r="B2" s="2"/>
      <c r="C2" s="2"/>
      <c r="D2" s="2"/>
      <c r="E2" s="2"/>
      <c r="F2" s="2"/>
      <c r="G2" s="2"/>
      <c r="H2" s="2"/>
      <c r="I2" s="2"/>
    </row>
    <row r="4" customFormat="false" ht="26.85" hidden="false" customHeight="false" outlineLevel="0" collapsed="false">
      <c r="A4" s="5" t="s">
        <v>142</v>
      </c>
      <c r="B4" s="5" t="s">
        <v>344</v>
      </c>
      <c r="C4" s="5" t="s">
        <v>21</v>
      </c>
      <c r="D4" s="5" t="s">
        <v>345</v>
      </c>
      <c r="E4" s="5" t="s">
        <v>38</v>
      </c>
      <c r="F4" s="5" t="s">
        <v>346</v>
      </c>
      <c r="G4" s="5" t="s">
        <v>347</v>
      </c>
      <c r="H4" s="5" t="s">
        <v>348</v>
      </c>
      <c r="I4" s="5" t="s">
        <v>349</v>
      </c>
    </row>
    <row r="5" customFormat="false" ht="57.45" hidden="false" customHeight="false" outlineLevel="0" collapsed="false">
      <c r="A5" s="9" t="s">
        <v>146</v>
      </c>
      <c r="B5" s="10" t="s">
        <v>350</v>
      </c>
      <c r="C5" s="6" t="s">
        <v>351</v>
      </c>
      <c r="D5" s="6" t="s">
        <v>352</v>
      </c>
      <c r="E5" s="6" t="s">
        <v>353</v>
      </c>
      <c r="F5" s="11" t="s">
        <v>354</v>
      </c>
      <c r="G5" s="6" t="s">
        <v>355</v>
      </c>
      <c r="H5" s="11" t="s">
        <v>356</v>
      </c>
      <c r="I5" s="11" t="s">
        <v>357</v>
      </c>
    </row>
    <row r="6" customFormat="false" ht="57.45" hidden="false" customHeight="false" outlineLevel="0" collapsed="false">
      <c r="A6" s="9" t="s">
        <v>166</v>
      </c>
      <c r="B6" s="10" t="s">
        <v>358</v>
      </c>
      <c r="C6" s="6" t="s">
        <v>359</v>
      </c>
      <c r="D6" s="6" t="s">
        <v>360</v>
      </c>
      <c r="E6" s="6" t="s">
        <v>361</v>
      </c>
      <c r="F6" s="11" t="s">
        <v>362</v>
      </c>
      <c r="G6" s="6" t="s">
        <v>363</v>
      </c>
      <c r="H6" s="11" t="s">
        <v>364</v>
      </c>
      <c r="I6" s="11"/>
    </row>
    <row r="7" customFormat="false" ht="68.65" hidden="false" customHeight="false" outlineLevel="0" collapsed="false">
      <c r="A7" s="9" t="s">
        <v>188</v>
      </c>
      <c r="B7" s="10" t="s">
        <v>365</v>
      </c>
      <c r="C7" s="6" t="s">
        <v>366</v>
      </c>
      <c r="D7" s="6" t="s">
        <v>367</v>
      </c>
      <c r="E7" s="6" t="s">
        <v>368</v>
      </c>
      <c r="F7" s="11" t="s">
        <v>369</v>
      </c>
      <c r="G7" s="6" t="s">
        <v>370</v>
      </c>
      <c r="H7" s="11" t="s">
        <v>364</v>
      </c>
      <c r="I7" s="11"/>
    </row>
    <row r="8" customFormat="false" ht="57.45" hidden="false" customHeight="false" outlineLevel="0" collapsed="false">
      <c r="A8" s="9" t="s">
        <v>169</v>
      </c>
      <c r="B8" s="10" t="s">
        <v>371</v>
      </c>
      <c r="C8" s="6" t="s">
        <v>372</v>
      </c>
      <c r="D8" s="6" t="s">
        <v>373</v>
      </c>
      <c r="E8" s="6" t="s">
        <v>374</v>
      </c>
      <c r="F8" s="11" t="s">
        <v>375</v>
      </c>
      <c r="G8" s="6" t="s">
        <v>376</v>
      </c>
      <c r="H8" s="11" t="s">
        <v>364</v>
      </c>
      <c r="I8" s="11"/>
    </row>
    <row r="9" customFormat="false" ht="68.65" hidden="false" customHeight="false" outlineLevel="0" collapsed="false">
      <c r="A9" s="9" t="s">
        <v>192</v>
      </c>
      <c r="B9" s="10" t="s">
        <v>377</v>
      </c>
      <c r="C9" s="6" t="s">
        <v>378</v>
      </c>
      <c r="D9" s="6" t="s">
        <v>379</v>
      </c>
      <c r="E9" s="6" t="s">
        <v>380</v>
      </c>
      <c r="F9" s="11" t="s">
        <v>381</v>
      </c>
      <c r="G9" s="6" t="s">
        <v>382</v>
      </c>
      <c r="H9" s="11" t="s">
        <v>364</v>
      </c>
      <c r="I9" s="11"/>
    </row>
    <row r="10" customFormat="false" ht="46.25" hidden="false" customHeight="false" outlineLevel="0" collapsed="false">
      <c r="A10" s="9" t="s">
        <v>200</v>
      </c>
      <c r="B10" s="10" t="s">
        <v>383</v>
      </c>
      <c r="C10" s="6" t="s">
        <v>384</v>
      </c>
      <c r="D10" s="6" t="s">
        <v>385</v>
      </c>
      <c r="E10" s="6" t="s">
        <v>386</v>
      </c>
      <c r="F10" s="11" t="s">
        <v>387</v>
      </c>
      <c r="G10" s="6" t="s">
        <v>388</v>
      </c>
      <c r="H10" s="11" t="s">
        <v>364</v>
      </c>
      <c r="I10" s="11"/>
    </row>
    <row r="12" customFormat="false" ht="15" hidden="false" customHeight="false" outlineLevel="0" collapsed="false">
      <c r="A12" s="12" t="s">
        <v>389</v>
      </c>
      <c r="B12" s="13" t="n">
        <f aca="false">COUNTIF(H5:H10,"Hoàn thành")</f>
        <v>0</v>
      </c>
    </row>
    <row r="13" customFormat="false" ht="15" hidden="false" customHeight="false" outlineLevel="0" collapsed="false">
      <c r="A13" s="12" t="s">
        <v>390</v>
      </c>
      <c r="B13" s="13" t="n">
        <f aca="false">COUNTA(H5:H10)</f>
        <v>6</v>
      </c>
    </row>
    <row r="14" customFormat="false" ht="15" hidden="false" customHeight="false" outlineLevel="0" collapsed="false">
      <c r="A14" s="12" t="s">
        <v>13</v>
      </c>
      <c r="B14" s="14" t="n">
        <f aca="false">IFERROR(B12/B13,0)</f>
        <v>0</v>
      </c>
    </row>
  </sheetData>
  <autoFilter ref="A4:I10"/>
  <mergeCells count="1">
    <mergeCell ref="A2:I2"/>
  </mergeCells>
  <conditionalFormatting sqref="H5:H10">
    <cfRule type="cellIs" priority="2" operator="equal" aboveAverage="0" equalAverage="0" bottom="0" percent="0" rank="0" text="" dxfId="6">
      <formula>"Hoàn thành"</formula>
    </cfRule>
    <cfRule type="cellIs" priority="3" operator="equal" aboveAverage="0" equalAverage="0" bottom="0" percent="0" rank="0" text="" dxfId="7">
      <formula>"Đang làm"</formula>
    </cfRule>
  </conditionalFormatting>
  <dataValidations count="1">
    <dataValidation allowBlank="true" errorStyle="stop" operator="between" showDropDown="false" showErrorMessage="false" showInputMessage="false" sqref="H5:H10" type="list">
      <formula1>"Chưa bắt đầu,Đang làm,Hoàn thành,Tạm dừng"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54"/>
    <col collapsed="false" customWidth="true" hidden="false" outlineLevel="0" max="4" min="4" style="0" width="44"/>
    <col collapsed="false" customWidth="true" hidden="false" outlineLevel="0" max="5" min="5" style="0" width="15"/>
    <col collapsed="false" customWidth="true" hidden="false" outlineLevel="0" max="6" min="6" style="0" width="46"/>
  </cols>
  <sheetData>
    <row r="1" customFormat="false" ht="18.55" hidden="false" customHeight="false" outlineLevel="0" collapsed="false">
      <c r="A1" s="1" t="s">
        <v>391</v>
      </c>
    </row>
    <row r="2" customFormat="false" ht="30" hidden="false" customHeight="true" outlineLevel="0" collapsed="false">
      <c r="A2" s="2" t="s">
        <v>392</v>
      </c>
      <c r="B2" s="2"/>
      <c r="C2" s="2"/>
      <c r="D2" s="2"/>
      <c r="E2" s="2"/>
      <c r="F2" s="2"/>
    </row>
    <row r="4" customFormat="false" ht="15" hidden="false" customHeight="false" outlineLevel="0" collapsed="false">
      <c r="A4" s="5" t="s">
        <v>393</v>
      </c>
      <c r="B4" s="5" t="s">
        <v>127</v>
      </c>
      <c r="C4" s="5" t="s">
        <v>394</v>
      </c>
      <c r="D4" s="5" t="s">
        <v>395</v>
      </c>
      <c r="E4" s="5" t="s">
        <v>348</v>
      </c>
      <c r="F4" s="5" t="s">
        <v>349</v>
      </c>
    </row>
    <row r="5" customFormat="false" ht="15" hidden="false" customHeight="false" outlineLevel="0" collapsed="false">
      <c r="A5" s="6" t="n">
        <v>1</v>
      </c>
      <c r="B5" s="6" t="s">
        <v>396</v>
      </c>
      <c r="C5" s="6" t="s">
        <v>397</v>
      </c>
      <c r="D5" s="6" t="s">
        <v>398</v>
      </c>
      <c r="E5" s="11" t="s">
        <v>399</v>
      </c>
      <c r="F5" s="11" t="s">
        <v>400</v>
      </c>
    </row>
    <row r="6" customFormat="false" ht="15" hidden="false" customHeight="false" outlineLevel="0" collapsed="false">
      <c r="A6" s="6" t="n">
        <v>2</v>
      </c>
      <c r="B6" s="6" t="s">
        <v>396</v>
      </c>
      <c r="C6" s="6" t="s">
        <v>401</v>
      </c>
      <c r="D6" s="6" t="s">
        <v>402</v>
      </c>
      <c r="E6" s="11" t="s">
        <v>399</v>
      </c>
      <c r="F6" s="11" t="s">
        <v>403</v>
      </c>
    </row>
    <row r="7" customFormat="false" ht="23.85" hidden="false" customHeight="false" outlineLevel="0" collapsed="false">
      <c r="A7" s="6" t="n">
        <v>3</v>
      </c>
      <c r="B7" s="6" t="s">
        <v>396</v>
      </c>
      <c r="C7" s="6" t="s">
        <v>404</v>
      </c>
      <c r="D7" s="6" t="s">
        <v>405</v>
      </c>
      <c r="E7" s="11" t="s">
        <v>399</v>
      </c>
      <c r="F7" s="11" t="s">
        <v>406</v>
      </c>
    </row>
    <row r="8" customFormat="false" ht="23.85" hidden="false" customHeight="false" outlineLevel="0" collapsed="false">
      <c r="A8" s="6" t="n">
        <v>4</v>
      </c>
      <c r="B8" s="6" t="s">
        <v>396</v>
      </c>
      <c r="C8" s="6" t="s">
        <v>407</v>
      </c>
      <c r="D8" s="6" t="s">
        <v>408</v>
      </c>
      <c r="E8" s="11" t="s">
        <v>399</v>
      </c>
      <c r="F8" s="11" t="s">
        <v>409</v>
      </c>
    </row>
    <row r="9" customFormat="false" ht="35.05" hidden="false" customHeight="false" outlineLevel="0" collapsed="false">
      <c r="A9" s="6" t="n">
        <v>5</v>
      </c>
      <c r="B9" s="6" t="s">
        <v>410</v>
      </c>
      <c r="C9" s="6" t="s">
        <v>411</v>
      </c>
      <c r="D9" s="6" t="s">
        <v>412</v>
      </c>
      <c r="E9" s="11" t="s">
        <v>399</v>
      </c>
      <c r="F9" s="11" t="s">
        <v>413</v>
      </c>
    </row>
    <row r="10" customFormat="false" ht="23.85" hidden="false" customHeight="false" outlineLevel="0" collapsed="false">
      <c r="A10" s="6" t="n">
        <v>6</v>
      </c>
      <c r="B10" s="6" t="s">
        <v>410</v>
      </c>
      <c r="C10" s="6" t="s">
        <v>414</v>
      </c>
      <c r="D10" s="6" t="s">
        <v>415</v>
      </c>
      <c r="E10" s="11" t="s">
        <v>399</v>
      </c>
      <c r="F10" s="11" t="s">
        <v>416</v>
      </c>
    </row>
    <row r="11" customFormat="false" ht="15" hidden="false" customHeight="false" outlineLevel="0" collapsed="false">
      <c r="A11" s="6" t="n">
        <v>7</v>
      </c>
      <c r="B11" s="6" t="s">
        <v>410</v>
      </c>
      <c r="C11" s="6" t="s">
        <v>417</v>
      </c>
      <c r="D11" s="6" t="s">
        <v>418</v>
      </c>
      <c r="E11" s="11" t="s">
        <v>399</v>
      </c>
      <c r="F11" s="11" t="s">
        <v>419</v>
      </c>
    </row>
    <row r="12" customFormat="false" ht="15" hidden="false" customHeight="false" outlineLevel="0" collapsed="false">
      <c r="A12" s="6" t="n">
        <v>8</v>
      </c>
      <c r="B12" s="6" t="s">
        <v>410</v>
      </c>
      <c r="C12" s="6" t="s">
        <v>420</v>
      </c>
      <c r="D12" s="6" t="s">
        <v>421</v>
      </c>
      <c r="E12" s="11" t="s">
        <v>399</v>
      </c>
      <c r="F12" s="11" t="s">
        <v>422</v>
      </c>
    </row>
    <row r="13" customFormat="false" ht="15" hidden="false" customHeight="false" outlineLevel="0" collapsed="false">
      <c r="A13" s="6" t="n">
        <v>9</v>
      </c>
      <c r="B13" s="6" t="s">
        <v>423</v>
      </c>
      <c r="C13" s="6" t="s">
        <v>424</v>
      </c>
      <c r="D13" s="6" t="s">
        <v>425</v>
      </c>
      <c r="E13" s="11" t="s">
        <v>399</v>
      </c>
      <c r="F13" s="11" t="s">
        <v>426</v>
      </c>
    </row>
    <row r="14" customFormat="false" ht="23.85" hidden="false" customHeight="false" outlineLevel="0" collapsed="false">
      <c r="A14" s="6" t="n">
        <v>10</v>
      </c>
      <c r="B14" s="6" t="s">
        <v>423</v>
      </c>
      <c r="C14" s="6" t="s">
        <v>427</v>
      </c>
      <c r="D14" s="6" t="s">
        <v>428</v>
      </c>
      <c r="E14" s="11" t="s">
        <v>399</v>
      </c>
      <c r="F14" s="11" t="s">
        <v>429</v>
      </c>
    </row>
    <row r="15" customFormat="false" ht="15" hidden="false" customHeight="false" outlineLevel="0" collapsed="false">
      <c r="A15" s="6" t="n">
        <v>11</v>
      </c>
      <c r="B15" s="6" t="s">
        <v>423</v>
      </c>
      <c r="C15" s="6" t="s">
        <v>430</v>
      </c>
      <c r="D15" s="6" t="s">
        <v>431</v>
      </c>
      <c r="E15" s="11" t="s">
        <v>364</v>
      </c>
      <c r="F15" s="11"/>
    </row>
    <row r="16" customFormat="false" ht="23.85" hidden="false" customHeight="false" outlineLevel="0" collapsed="false">
      <c r="A16" s="6" t="n">
        <v>12</v>
      </c>
      <c r="B16" s="6" t="s">
        <v>432</v>
      </c>
      <c r="C16" s="6" t="s">
        <v>433</v>
      </c>
      <c r="D16" s="6" t="s">
        <v>434</v>
      </c>
      <c r="E16" s="11" t="s">
        <v>399</v>
      </c>
      <c r="F16" s="11" t="s">
        <v>435</v>
      </c>
    </row>
    <row r="17" customFormat="false" ht="23.85" hidden="false" customHeight="false" outlineLevel="0" collapsed="false">
      <c r="A17" s="6" t="n">
        <v>13</v>
      </c>
      <c r="B17" s="6" t="s">
        <v>432</v>
      </c>
      <c r="C17" s="6" t="s">
        <v>436</v>
      </c>
      <c r="D17" s="6" t="s">
        <v>437</v>
      </c>
      <c r="E17" s="11" t="s">
        <v>364</v>
      </c>
      <c r="F17" s="11" t="s">
        <v>438</v>
      </c>
    </row>
    <row r="18" customFormat="false" ht="15" hidden="false" customHeight="false" outlineLevel="0" collapsed="false">
      <c r="A18" s="6" t="n">
        <v>14</v>
      </c>
      <c r="B18" s="6" t="s">
        <v>432</v>
      </c>
      <c r="C18" s="6" t="s">
        <v>439</v>
      </c>
      <c r="D18" s="6" t="s">
        <v>440</v>
      </c>
      <c r="E18" s="11" t="s">
        <v>364</v>
      </c>
      <c r="F18" s="11"/>
    </row>
    <row r="19" customFormat="false" ht="15" hidden="false" customHeight="false" outlineLevel="0" collapsed="false">
      <c r="A19" s="6" t="n">
        <v>15</v>
      </c>
      <c r="B19" s="6" t="s">
        <v>441</v>
      </c>
      <c r="C19" s="6" t="s">
        <v>442</v>
      </c>
      <c r="D19" s="6" t="s">
        <v>443</v>
      </c>
      <c r="E19" s="11" t="s">
        <v>364</v>
      </c>
      <c r="F19" s="11"/>
    </row>
    <row r="20" customFormat="false" ht="15" hidden="false" customHeight="false" outlineLevel="0" collapsed="false">
      <c r="A20" s="6" t="n">
        <v>16</v>
      </c>
      <c r="B20" s="6" t="s">
        <v>441</v>
      </c>
      <c r="C20" s="6" t="s">
        <v>444</v>
      </c>
      <c r="D20" s="6" t="s">
        <v>445</v>
      </c>
      <c r="E20" s="11" t="s">
        <v>364</v>
      </c>
      <c r="F20" s="11"/>
    </row>
    <row r="21" customFormat="false" ht="23.85" hidden="false" customHeight="false" outlineLevel="0" collapsed="false">
      <c r="A21" s="6" t="n">
        <v>17</v>
      </c>
      <c r="B21" s="6" t="s">
        <v>441</v>
      </c>
      <c r="C21" s="6" t="s">
        <v>446</v>
      </c>
      <c r="D21" s="6" t="s">
        <v>447</v>
      </c>
      <c r="E21" s="11" t="s">
        <v>364</v>
      </c>
      <c r="F21" s="11"/>
    </row>
    <row r="22" customFormat="false" ht="15" hidden="false" customHeight="false" outlineLevel="0" collapsed="false">
      <c r="A22" s="6" t="n">
        <v>18</v>
      </c>
      <c r="B22" s="6" t="s">
        <v>441</v>
      </c>
      <c r="C22" s="6" t="s">
        <v>448</v>
      </c>
      <c r="D22" s="6" t="s">
        <v>449</v>
      </c>
      <c r="E22" s="11" t="s">
        <v>364</v>
      </c>
      <c r="F22" s="11"/>
    </row>
    <row r="23" customFormat="false" ht="23.85" hidden="false" customHeight="false" outlineLevel="0" collapsed="false">
      <c r="A23" s="6" t="n">
        <v>19</v>
      </c>
      <c r="B23" s="6" t="s">
        <v>441</v>
      </c>
      <c r="C23" s="6" t="s">
        <v>450</v>
      </c>
      <c r="D23" s="6" t="s">
        <v>451</v>
      </c>
      <c r="E23" s="11" t="s">
        <v>364</v>
      </c>
      <c r="F23" s="11"/>
    </row>
    <row r="24" customFormat="false" ht="23.85" hidden="false" customHeight="false" outlineLevel="0" collapsed="false">
      <c r="A24" s="6" t="n">
        <v>20</v>
      </c>
      <c r="B24" s="6" t="s">
        <v>452</v>
      </c>
      <c r="C24" s="6" t="s">
        <v>453</v>
      </c>
      <c r="D24" s="6" t="s">
        <v>454</v>
      </c>
      <c r="E24" s="11" t="s">
        <v>364</v>
      </c>
      <c r="F24" s="11"/>
    </row>
    <row r="25" customFormat="false" ht="15" hidden="false" customHeight="false" outlineLevel="0" collapsed="false">
      <c r="A25" s="6" t="n">
        <v>21</v>
      </c>
      <c r="B25" s="6" t="s">
        <v>452</v>
      </c>
      <c r="C25" s="6" t="s">
        <v>455</v>
      </c>
      <c r="D25" s="6" t="s">
        <v>456</v>
      </c>
      <c r="E25" s="11" t="s">
        <v>364</v>
      </c>
      <c r="F25" s="11"/>
    </row>
    <row r="26" customFormat="false" ht="15" hidden="false" customHeight="false" outlineLevel="0" collapsed="false">
      <c r="A26" s="6" t="n">
        <v>22</v>
      </c>
      <c r="B26" s="6" t="s">
        <v>452</v>
      </c>
      <c r="C26" s="6" t="s">
        <v>457</v>
      </c>
      <c r="D26" s="6" t="s">
        <v>458</v>
      </c>
      <c r="E26" s="11" t="s">
        <v>364</v>
      </c>
      <c r="F26" s="11"/>
    </row>
    <row r="27" customFormat="false" ht="15" hidden="false" customHeight="false" outlineLevel="0" collapsed="false">
      <c r="A27" s="6" t="n">
        <v>23</v>
      </c>
      <c r="B27" s="6" t="s">
        <v>459</v>
      </c>
      <c r="C27" s="6" t="s">
        <v>460</v>
      </c>
      <c r="D27" s="6" t="s">
        <v>461</v>
      </c>
      <c r="E27" s="11" t="s">
        <v>364</v>
      </c>
      <c r="F27" s="11"/>
    </row>
    <row r="28" customFormat="false" ht="15" hidden="false" customHeight="false" outlineLevel="0" collapsed="false">
      <c r="A28" s="6" t="n">
        <v>24</v>
      </c>
      <c r="B28" s="6" t="s">
        <v>459</v>
      </c>
      <c r="C28" s="6" t="s">
        <v>462</v>
      </c>
      <c r="D28" s="6" t="s">
        <v>463</v>
      </c>
      <c r="E28" s="11" t="s">
        <v>364</v>
      </c>
      <c r="F28" s="11"/>
    </row>
    <row r="29" customFormat="false" ht="15" hidden="false" customHeight="false" outlineLevel="0" collapsed="false">
      <c r="A29" s="6" t="n">
        <v>25</v>
      </c>
      <c r="B29" s="6" t="s">
        <v>459</v>
      </c>
      <c r="C29" s="6" t="s">
        <v>464</v>
      </c>
      <c r="D29" s="6" t="s">
        <v>465</v>
      </c>
      <c r="E29" s="11" t="s">
        <v>364</v>
      </c>
      <c r="F29" s="11"/>
    </row>
    <row r="30" customFormat="false" ht="15" hidden="false" customHeight="false" outlineLevel="0" collapsed="false">
      <c r="A30" s="6" t="n">
        <v>26</v>
      </c>
      <c r="B30" s="6" t="s">
        <v>459</v>
      </c>
      <c r="C30" s="6" t="s">
        <v>466</v>
      </c>
      <c r="D30" s="6" t="s">
        <v>467</v>
      </c>
      <c r="E30" s="11" t="s">
        <v>364</v>
      </c>
      <c r="F30" s="11"/>
    </row>
    <row r="31" customFormat="false" ht="15" hidden="false" customHeight="false" outlineLevel="0" collapsed="false">
      <c r="A31" s="6" t="n">
        <v>27</v>
      </c>
      <c r="B31" s="6" t="s">
        <v>459</v>
      </c>
      <c r="C31" s="6" t="s">
        <v>468</v>
      </c>
      <c r="D31" s="6" t="s">
        <v>469</v>
      </c>
      <c r="E31" s="11" t="s">
        <v>364</v>
      </c>
      <c r="F31" s="11"/>
    </row>
    <row r="33" customFormat="false" ht="15" hidden="false" customHeight="false" outlineLevel="0" collapsed="false">
      <c r="A33" s="12"/>
      <c r="B33" s="13" t="s">
        <v>389</v>
      </c>
      <c r="C33" s="13" t="n">
        <f aca="false">COUNTIF(E5:E31,"Hoàn thành")</f>
        <v>11</v>
      </c>
    </row>
    <row r="34" customFormat="false" ht="15" hidden="false" customHeight="false" outlineLevel="0" collapsed="false">
      <c r="A34" s="12"/>
      <c r="B34" s="13" t="s">
        <v>470</v>
      </c>
      <c r="C34" s="13" t="n">
        <f aca="false">COUNTA(E5:E31)</f>
        <v>27</v>
      </c>
    </row>
    <row r="35" customFormat="false" ht="15" hidden="false" customHeight="false" outlineLevel="0" collapsed="false">
      <c r="A35" s="12"/>
      <c r="B35" s="14" t="s">
        <v>13</v>
      </c>
      <c r="C35" s="14" t="n">
        <f aca="false">IFERROR(C33/C34,0)</f>
        <v>0.407407407407407</v>
      </c>
    </row>
  </sheetData>
  <autoFilter ref="A4:F31"/>
  <mergeCells count="1">
    <mergeCell ref="A2:F2"/>
  </mergeCells>
  <conditionalFormatting sqref="E5:E31">
    <cfRule type="cellIs" priority="2" operator="equal" aboveAverage="0" equalAverage="0" bottom="0" percent="0" rank="0" text="" dxfId="6">
      <formula>"Hoàn thành"</formula>
    </cfRule>
    <cfRule type="cellIs" priority="3" operator="equal" aboveAverage="0" equalAverage="0" bottom="0" percent="0" rank="0" text="" dxfId="7">
      <formula>"Đang làm"</formula>
    </cfRule>
  </conditionalFormatting>
  <dataValidations count="1">
    <dataValidation allowBlank="true" errorStyle="stop" operator="between" showDropDown="false" showErrorMessage="false" showInputMessage="false" sqref="E5:E31" type="list">
      <formula1>"Chưa bắt đầu,Đang làm,Hoàn thành,Tạm dừng"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8"/>
    <col collapsed="false" customWidth="true" hidden="false" outlineLevel="0" max="4" min="4" style="0" width="11"/>
    <col collapsed="false" customWidth="true" hidden="false" outlineLevel="0" max="5" min="5" style="0" width="15"/>
    <col collapsed="false" customWidth="true" hidden="false" outlineLevel="0" max="6" min="6" style="0" width="40"/>
  </cols>
  <sheetData>
    <row r="1" customFormat="false" ht="18.55" hidden="false" customHeight="false" outlineLevel="0" collapsed="false">
      <c r="A1" s="1" t="s">
        <v>471</v>
      </c>
    </row>
    <row r="2" customFormat="false" ht="30" hidden="false" customHeight="true" outlineLevel="0" collapsed="false">
      <c r="A2" s="2" t="s">
        <v>472</v>
      </c>
      <c r="B2" s="2"/>
      <c r="C2" s="2"/>
      <c r="D2" s="2"/>
      <c r="E2" s="2"/>
      <c r="F2" s="2"/>
    </row>
    <row r="4" customFormat="false" ht="15" hidden="false" customHeight="false" outlineLevel="0" collapsed="false">
      <c r="A4" s="5" t="s">
        <v>207</v>
      </c>
      <c r="B4" s="5" t="s">
        <v>473</v>
      </c>
      <c r="C4" s="5" t="s">
        <v>21</v>
      </c>
      <c r="D4" s="5" t="s">
        <v>142</v>
      </c>
      <c r="E4" s="5" t="s">
        <v>348</v>
      </c>
      <c r="F4" s="5" t="s">
        <v>349</v>
      </c>
    </row>
    <row r="5" customFormat="false" ht="23.85" hidden="false" customHeight="false" outlineLevel="0" collapsed="false">
      <c r="A5" s="6" t="s">
        <v>474</v>
      </c>
      <c r="B5" s="6" t="s">
        <v>475</v>
      </c>
      <c r="C5" s="6" t="s">
        <v>476</v>
      </c>
      <c r="D5" s="6" t="s">
        <v>146</v>
      </c>
      <c r="E5" s="11" t="s">
        <v>356</v>
      </c>
      <c r="F5" s="11" t="s">
        <v>477</v>
      </c>
    </row>
    <row r="6" customFormat="false" ht="23.85" hidden="false" customHeight="false" outlineLevel="0" collapsed="false">
      <c r="A6" s="6" t="s">
        <v>478</v>
      </c>
      <c r="B6" s="6" t="s">
        <v>479</v>
      </c>
      <c r="C6" s="6" t="s">
        <v>480</v>
      </c>
      <c r="D6" s="6" t="s">
        <v>146</v>
      </c>
      <c r="E6" s="11" t="s">
        <v>356</v>
      </c>
      <c r="F6" s="11" t="s">
        <v>481</v>
      </c>
    </row>
    <row r="7" customFormat="false" ht="15" hidden="false" customHeight="false" outlineLevel="0" collapsed="false">
      <c r="A7" s="6" t="s">
        <v>482</v>
      </c>
      <c r="B7" s="6" t="s">
        <v>483</v>
      </c>
      <c r="C7" s="6" t="s">
        <v>484</v>
      </c>
      <c r="D7" s="6" t="s">
        <v>146</v>
      </c>
      <c r="E7" s="11" t="s">
        <v>364</v>
      </c>
      <c r="F7" s="11" t="s">
        <v>485</v>
      </c>
    </row>
    <row r="8" customFormat="false" ht="23.85" hidden="false" customHeight="false" outlineLevel="0" collapsed="false">
      <c r="A8" s="6" t="s">
        <v>486</v>
      </c>
      <c r="B8" s="6" t="s">
        <v>155</v>
      </c>
      <c r="C8" s="6" t="s">
        <v>487</v>
      </c>
      <c r="D8" s="6" t="s">
        <v>146</v>
      </c>
      <c r="E8" s="11" t="s">
        <v>399</v>
      </c>
      <c r="F8" s="11" t="s">
        <v>488</v>
      </c>
    </row>
    <row r="9" customFormat="false" ht="23.85" hidden="false" customHeight="false" outlineLevel="0" collapsed="false">
      <c r="A9" s="6" t="s">
        <v>489</v>
      </c>
      <c r="B9" s="6" t="s">
        <v>490</v>
      </c>
      <c r="C9" s="6" t="s">
        <v>491</v>
      </c>
      <c r="D9" s="6" t="s">
        <v>166</v>
      </c>
      <c r="E9" s="11" t="s">
        <v>364</v>
      </c>
      <c r="F9" s="11"/>
    </row>
    <row r="10" customFormat="false" ht="23.85" hidden="false" customHeight="false" outlineLevel="0" collapsed="false">
      <c r="A10" s="6" t="s">
        <v>492</v>
      </c>
      <c r="B10" s="6" t="s">
        <v>493</v>
      </c>
      <c r="C10" s="6" t="s">
        <v>494</v>
      </c>
      <c r="D10" s="6" t="s">
        <v>166</v>
      </c>
      <c r="E10" s="11" t="s">
        <v>364</v>
      </c>
      <c r="F10" s="11"/>
    </row>
    <row r="11" customFormat="false" ht="15" hidden="false" customHeight="false" outlineLevel="0" collapsed="false">
      <c r="A11" s="6" t="s">
        <v>367</v>
      </c>
      <c r="B11" s="6" t="s">
        <v>495</v>
      </c>
      <c r="C11" s="6" t="s">
        <v>496</v>
      </c>
      <c r="D11" s="6" t="s">
        <v>188</v>
      </c>
      <c r="E11" s="11" t="s">
        <v>364</v>
      </c>
      <c r="F11" s="11"/>
    </row>
    <row r="12" customFormat="false" ht="23.85" hidden="false" customHeight="false" outlineLevel="0" collapsed="false">
      <c r="A12" s="6" t="s">
        <v>497</v>
      </c>
      <c r="B12" s="6" t="s">
        <v>498</v>
      </c>
      <c r="C12" s="6" t="s">
        <v>499</v>
      </c>
      <c r="D12" s="6" t="s">
        <v>169</v>
      </c>
      <c r="E12" s="11" t="s">
        <v>364</v>
      </c>
      <c r="F12" s="11"/>
    </row>
    <row r="13" customFormat="false" ht="35.05" hidden="false" customHeight="false" outlineLevel="0" collapsed="false">
      <c r="A13" s="6" t="s">
        <v>500</v>
      </c>
      <c r="B13" s="6" t="s">
        <v>155</v>
      </c>
      <c r="C13" s="6" t="s">
        <v>501</v>
      </c>
      <c r="D13" s="6" t="s">
        <v>192</v>
      </c>
      <c r="E13" s="11" t="s">
        <v>364</v>
      </c>
      <c r="F13" s="11"/>
    </row>
    <row r="14" customFormat="false" ht="23.85" hidden="false" customHeight="false" outlineLevel="0" collapsed="false">
      <c r="A14" s="6" t="s">
        <v>502</v>
      </c>
      <c r="B14" s="6" t="s">
        <v>503</v>
      </c>
      <c r="C14" s="6" t="s">
        <v>504</v>
      </c>
      <c r="D14" s="6" t="s">
        <v>192</v>
      </c>
      <c r="E14" s="11" t="s">
        <v>364</v>
      </c>
      <c r="F14" s="11"/>
    </row>
    <row r="15" customFormat="false" ht="23.85" hidden="false" customHeight="false" outlineLevel="0" collapsed="false">
      <c r="A15" s="6" t="s">
        <v>505</v>
      </c>
      <c r="B15" s="6" t="s">
        <v>506</v>
      </c>
      <c r="C15" s="6" t="s">
        <v>507</v>
      </c>
      <c r="D15" s="6" t="s">
        <v>192</v>
      </c>
      <c r="E15" s="11" t="s">
        <v>364</v>
      </c>
      <c r="F15" s="11"/>
    </row>
    <row r="16" customFormat="false" ht="15" hidden="false" customHeight="false" outlineLevel="0" collapsed="false">
      <c r="A16" s="6" t="s">
        <v>508</v>
      </c>
      <c r="B16" s="6" t="s">
        <v>509</v>
      </c>
      <c r="C16" s="6" t="s">
        <v>510</v>
      </c>
      <c r="D16" s="6" t="s">
        <v>192</v>
      </c>
      <c r="E16" s="11" t="s">
        <v>364</v>
      </c>
      <c r="F16" s="11"/>
    </row>
    <row r="17" customFormat="false" ht="15" hidden="false" customHeight="false" outlineLevel="0" collapsed="false">
      <c r="A17" s="6" t="s">
        <v>511</v>
      </c>
      <c r="B17" s="6" t="s">
        <v>512</v>
      </c>
      <c r="C17" s="6" t="s">
        <v>513</v>
      </c>
      <c r="D17" s="6" t="s">
        <v>192</v>
      </c>
      <c r="E17" s="11" t="s">
        <v>364</v>
      </c>
      <c r="F17" s="11"/>
    </row>
    <row r="18" customFormat="false" ht="15" hidden="false" customHeight="false" outlineLevel="0" collapsed="false">
      <c r="A18" s="6" t="s">
        <v>514</v>
      </c>
      <c r="B18" s="6" t="s">
        <v>515</v>
      </c>
      <c r="C18" s="6" t="s">
        <v>516</v>
      </c>
      <c r="D18" s="6" t="s">
        <v>192</v>
      </c>
      <c r="E18" s="11" t="s">
        <v>364</v>
      </c>
      <c r="F18" s="11"/>
    </row>
    <row r="19" customFormat="false" ht="23.85" hidden="false" customHeight="false" outlineLevel="0" collapsed="false">
      <c r="A19" s="6" t="s">
        <v>517</v>
      </c>
      <c r="B19" s="6" t="s">
        <v>155</v>
      </c>
      <c r="C19" s="6" t="s">
        <v>518</v>
      </c>
      <c r="D19" s="6" t="s">
        <v>200</v>
      </c>
      <c r="E19" s="11" t="s">
        <v>364</v>
      </c>
      <c r="F19" s="11"/>
    </row>
    <row r="20" customFormat="false" ht="15" hidden="false" customHeight="false" outlineLevel="0" collapsed="false">
      <c r="A20" s="6" t="s">
        <v>519</v>
      </c>
      <c r="B20" s="6" t="s">
        <v>520</v>
      </c>
      <c r="C20" s="6" t="s">
        <v>521</v>
      </c>
      <c r="D20" s="6" t="s">
        <v>200</v>
      </c>
      <c r="E20" s="11" t="s">
        <v>364</v>
      </c>
      <c r="F20" s="11"/>
    </row>
    <row r="21" customFormat="false" ht="15" hidden="false" customHeight="false" outlineLevel="0" collapsed="false">
      <c r="A21" s="6" t="s">
        <v>522</v>
      </c>
      <c r="B21" s="6" t="s">
        <v>523</v>
      </c>
      <c r="C21" s="6" t="s">
        <v>524</v>
      </c>
      <c r="D21" s="6" t="s">
        <v>200</v>
      </c>
      <c r="E21" s="11" t="s">
        <v>364</v>
      </c>
      <c r="F21" s="11"/>
    </row>
    <row r="22" customFormat="false" ht="15" hidden="false" customHeight="false" outlineLevel="0" collapsed="false">
      <c r="A22" s="6" t="s">
        <v>525</v>
      </c>
      <c r="B22" s="6" t="s">
        <v>526</v>
      </c>
      <c r="C22" s="6" t="s">
        <v>527</v>
      </c>
      <c r="D22" s="6" t="s">
        <v>200</v>
      </c>
      <c r="E22" s="11" t="s">
        <v>364</v>
      </c>
      <c r="F22" s="11"/>
    </row>
    <row r="24" customFormat="false" ht="15" hidden="false" customHeight="false" outlineLevel="0" collapsed="false">
      <c r="A24" s="12" t="s">
        <v>389</v>
      </c>
      <c r="B24" s="13" t="n">
        <f aca="false">COUNTIF(E5:E22,"Hoàn thành")</f>
        <v>1</v>
      </c>
    </row>
    <row r="25" customFormat="false" ht="15" hidden="false" customHeight="false" outlineLevel="0" collapsed="false">
      <c r="A25" s="12" t="s">
        <v>390</v>
      </c>
      <c r="B25" s="13" t="n">
        <f aca="false">COUNTA(E5:E22)</f>
        <v>18</v>
      </c>
    </row>
    <row r="26" customFormat="false" ht="15" hidden="false" customHeight="false" outlineLevel="0" collapsed="false">
      <c r="A26" s="12" t="s">
        <v>13</v>
      </c>
      <c r="B26" s="14" t="n">
        <f aca="false">IFERROR(B24/B25,0)</f>
        <v>0.0555555555555556</v>
      </c>
    </row>
  </sheetData>
  <autoFilter ref="A4:F22"/>
  <mergeCells count="1">
    <mergeCell ref="A2:F2"/>
  </mergeCells>
  <conditionalFormatting sqref="E5:E22">
    <cfRule type="cellIs" priority="2" operator="equal" aboveAverage="0" equalAverage="0" bottom="0" percent="0" rank="0" text="" dxfId="6">
      <formula>"Hoàn thành"</formula>
    </cfRule>
    <cfRule type="cellIs" priority="3" operator="equal" aboveAverage="0" equalAverage="0" bottom="0" percent="0" rank="0" text="" dxfId="7">
      <formula>"Đang làm"</formula>
    </cfRule>
  </conditionalFormatting>
  <dataValidations count="1">
    <dataValidation allowBlank="true" errorStyle="stop" operator="between" showDropDown="false" showErrorMessage="false" showInputMessage="false" sqref="E5:E22" type="list">
      <formula1>"Chưa bắt đầu,Đang làm,Hoàn thành,Tạm dừng"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58"/>
    <col collapsed="false" customWidth="true" hidden="false" outlineLevel="0" max="4" min="4" style="0" width="11"/>
    <col collapsed="false" customWidth="true" hidden="false" outlineLevel="0" max="5" min="5" style="0" width="15"/>
  </cols>
  <sheetData>
    <row r="1" customFormat="false" ht="18.55" hidden="false" customHeight="false" outlineLevel="0" collapsed="false">
      <c r="A1" s="1" t="s">
        <v>528</v>
      </c>
    </row>
    <row r="3" customFormat="false" ht="15" hidden="false" customHeight="false" outlineLevel="0" collapsed="false">
      <c r="A3" s="5" t="s">
        <v>207</v>
      </c>
      <c r="B3" s="5" t="s">
        <v>473</v>
      </c>
      <c r="C3" s="5" t="s">
        <v>21</v>
      </c>
      <c r="D3" s="5" t="s">
        <v>142</v>
      </c>
      <c r="E3" s="5" t="s">
        <v>348</v>
      </c>
    </row>
    <row r="4" customFormat="false" ht="15" hidden="false" customHeight="false" outlineLevel="0" collapsed="false">
      <c r="A4" s="6" t="s">
        <v>529</v>
      </c>
      <c r="B4" s="6" t="s">
        <v>530</v>
      </c>
      <c r="C4" s="6" t="s">
        <v>531</v>
      </c>
      <c r="D4" s="6" t="s">
        <v>146</v>
      </c>
      <c r="E4" s="11" t="s">
        <v>364</v>
      </c>
    </row>
    <row r="5" customFormat="false" ht="15" hidden="false" customHeight="false" outlineLevel="0" collapsed="false">
      <c r="A5" s="6" t="s">
        <v>532</v>
      </c>
      <c r="B5" s="6" t="s">
        <v>533</v>
      </c>
      <c r="C5" s="6" t="s">
        <v>534</v>
      </c>
      <c r="D5" s="6" t="s">
        <v>146</v>
      </c>
      <c r="E5" s="11" t="s">
        <v>364</v>
      </c>
    </row>
    <row r="6" customFormat="false" ht="15" hidden="false" customHeight="false" outlineLevel="0" collapsed="false">
      <c r="A6" s="6" t="s">
        <v>535</v>
      </c>
      <c r="B6" s="6" t="s">
        <v>536</v>
      </c>
      <c r="C6" s="6" t="s">
        <v>537</v>
      </c>
      <c r="D6" s="6" t="s">
        <v>146</v>
      </c>
      <c r="E6" s="11" t="s">
        <v>364</v>
      </c>
    </row>
    <row r="7" customFormat="false" ht="15" hidden="false" customHeight="false" outlineLevel="0" collapsed="false">
      <c r="A7" s="6" t="s">
        <v>538</v>
      </c>
      <c r="B7" s="6" t="s">
        <v>539</v>
      </c>
      <c r="C7" s="6" t="s">
        <v>540</v>
      </c>
      <c r="D7" s="6" t="s">
        <v>146</v>
      </c>
      <c r="E7" s="11" t="s">
        <v>364</v>
      </c>
    </row>
    <row r="8" customFormat="false" ht="15" hidden="false" customHeight="false" outlineLevel="0" collapsed="false">
      <c r="A8" s="6" t="s">
        <v>541</v>
      </c>
      <c r="B8" s="6" t="s">
        <v>542</v>
      </c>
      <c r="C8" s="6" t="s">
        <v>543</v>
      </c>
      <c r="D8" s="6" t="s">
        <v>188</v>
      </c>
      <c r="E8" s="11" t="s">
        <v>364</v>
      </c>
    </row>
    <row r="9" customFormat="false" ht="15" hidden="false" customHeight="false" outlineLevel="0" collapsed="false">
      <c r="A9" s="6" t="s">
        <v>544</v>
      </c>
      <c r="B9" s="6" t="s">
        <v>545</v>
      </c>
      <c r="C9" s="6" t="s">
        <v>546</v>
      </c>
      <c r="D9" s="6" t="s">
        <v>188</v>
      </c>
      <c r="E9" s="11" t="s">
        <v>364</v>
      </c>
    </row>
    <row r="10" customFormat="false" ht="15" hidden="false" customHeight="false" outlineLevel="0" collapsed="false">
      <c r="A10" s="6" t="s">
        <v>547</v>
      </c>
      <c r="B10" s="6" t="s">
        <v>548</v>
      </c>
      <c r="C10" s="6" t="s">
        <v>549</v>
      </c>
      <c r="D10" s="6" t="s">
        <v>188</v>
      </c>
      <c r="E10" s="11" t="s">
        <v>364</v>
      </c>
    </row>
    <row r="11" customFormat="false" ht="15" hidden="false" customHeight="false" outlineLevel="0" collapsed="false">
      <c r="A11" s="6" t="s">
        <v>550</v>
      </c>
      <c r="B11" s="6" t="s">
        <v>551</v>
      </c>
      <c r="C11" s="6" t="s">
        <v>552</v>
      </c>
      <c r="D11" s="6" t="s">
        <v>169</v>
      </c>
      <c r="E11" s="11" t="s">
        <v>364</v>
      </c>
    </row>
    <row r="12" customFormat="false" ht="15" hidden="false" customHeight="false" outlineLevel="0" collapsed="false">
      <c r="A12" s="6" t="s">
        <v>553</v>
      </c>
      <c r="B12" s="6" t="s">
        <v>554</v>
      </c>
      <c r="C12" s="6" t="s">
        <v>555</v>
      </c>
      <c r="D12" s="6" t="s">
        <v>169</v>
      </c>
      <c r="E12" s="11" t="s">
        <v>364</v>
      </c>
    </row>
    <row r="13" customFormat="false" ht="15" hidden="false" customHeight="false" outlineLevel="0" collapsed="false">
      <c r="A13" s="6" t="s">
        <v>556</v>
      </c>
      <c r="B13" s="6" t="s">
        <v>557</v>
      </c>
      <c r="C13" s="6" t="s">
        <v>558</v>
      </c>
      <c r="D13" s="6" t="s">
        <v>169</v>
      </c>
      <c r="E13" s="11" t="s">
        <v>364</v>
      </c>
    </row>
    <row r="14" customFormat="false" ht="15" hidden="false" customHeight="false" outlineLevel="0" collapsed="false">
      <c r="A14" s="6" t="s">
        <v>559</v>
      </c>
      <c r="B14" s="6" t="s">
        <v>560</v>
      </c>
      <c r="C14" s="6" t="s">
        <v>561</v>
      </c>
      <c r="D14" s="6" t="s">
        <v>192</v>
      </c>
      <c r="E14" s="11" t="s">
        <v>364</v>
      </c>
    </row>
    <row r="16" customFormat="false" ht="15" hidden="false" customHeight="false" outlineLevel="0" collapsed="false">
      <c r="A16" s="12" t="s">
        <v>389</v>
      </c>
      <c r="B16" s="13" t="n">
        <f aca="false">COUNTIF(E4:E14,"Hoàn thành")</f>
        <v>0</v>
      </c>
    </row>
    <row r="17" customFormat="false" ht="15" hidden="false" customHeight="false" outlineLevel="0" collapsed="false">
      <c r="A17" s="12" t="s">
        <v>390</v>
      </c>
      <c r="B17" s="13" t="n">
        <f aca="false">COUNTA(E4:E14)</f>
        <v>11</v>
      </c>
    </row>
    <row r="18" customFormat="false" ht="15" hidden="false" customHeight="false" outlineLevel="0" collapsed="false">
      <c r="A18" s="12" t="s">
        <v>13</v>
      </c>
      <c r="B18" s="14" t="n">
        <f aca="false">IFERROR(B16/B17,0)</f>
        <v>0</v>
      </c>
    </row>
  </sheetData>
  <autoFilter ref="A3:E14"/>
  <conditionalFormatting sqref="E4:E14">
    <cfRule type="cellIs" priority="2" operator="equal" aboveAverage="0" equalAverage="0" bottom="0" percent="0" rank="0" text="" dxfId="6">
      <formula>"Hoàn thành"</formula>
    </cfRule>
    <cfRule type="cellIs" priority="3" operator="equal" aboveAverage="0" equalAverage="0" bottom="0" percent="0" rank="0" text="" dxfId="7">
      <formula>"Đang làm"</formula>
    </cfRule>
  </conditionalFormatting>
  <dataValidations count="1">
    <dataValidation allowBlank="true" errorStyle="stop" operator="between" showDropDown="false" showErrorMessage="false" showInputMessage="false" sqref="E4:E14" type="list">
      <formula1>"Chưa bắt đầu,Đang làm,Hoàn thành,Tạm dừng"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30"/>
    <col collapsed="false" customWidth="true" hidden="false" outlineLevel="0" max="4" min="4" style="0" width="52"/>
    <col collapsed="false" customWidth="true" hidden="false" outlineLevel="0" max="5" min="5" style="0" width="11"/>
  </cols>
  <sheetData>
    <row r="1" customFormat="false" ht="18.55" hidden="false" customHeight="false" outlineLevel="0" collapsed="false">
      <c r="A1" s="1" t="s">
        <v>562</v>
      </c>
    </row>
    <row r="2" customFormat="false" ht="30" hidden="false" customHeight="true" outlineLevel="0" collapsed="false">
      <c r="A2" s="2" t="s">
        <v>563</v>
      </c>
      <c r="B2" s="2"/>
      <c r="C2" s="2"/>
      <c r="D2" s="2"/>
      <c r="E2" s="2"/>
    </row>
    <row r="4" customFormat="false" ht="15" hidden="false" customHeight="false" outlineLevel="0" collapsed="false">
      <c r="A4" s="3" t="s">
        <v>564</v>
      </c>
      <c r="B4" s="4"/>
      <c r="C4" s="4"/>
      <c r="D4" s="4"/>
      <c r="E4" s="4"/>
    </row>
    <row r="5" customFormat="false" ht="15" hidden="false" customHeight="false" outlineLevel="0" collapsed="false">
      <c r="A5" s="5" t="s">
        <v>565</v>
      </c>
      <c r="B5" s="5" t="s">
        <v>287</v>
      </c>
      <c r="C5" s="5" t="s">
        <v>566</v>
      </c>
      <c r="D5" s="5" t="s">
        <v>332</v>
      </c>
      <c r="E5" s="5" t="s">
        <v>142</v>
      </c>
    </row>
    <row r="6" customFormat="false" ht="23.85" hidden="false" customHeight="false" outlineLevel="0" collapsed="false">
      <c r="A6" s="6" t="s">
        <v>567</v>
      </c>
      <c r="B6" s="6" t="s">
        <v>568</v>
      </c>
      <c r="C6" s="6" t="s">
        <v>569</v>
      </c>
      <c r="D6" s="6" t="s">
        <v>570</v>
      </c>
      <c r="E6" s="6" t="s">
        <v>146</v>
      </c>
    </row>
    <row r="7" customFormat="false" ht="23.85" hidden="false" customHeight="false" outlineLevel="0" collapsed="false">
      <c r="A7" s="6" t="s">
        <v>571</v>
      </c>
      <c r="B7" s="6" t="s">
        <v>572</v>
      </c>
      <c r="C7" s="6" t="s">
        <v>573</v>
      </c>
      <c r="D7" s="6" t="s">
        <v>574</v>
      </c>
      <c r="E7" s="6" t="s">
        <v>188</v>
      </c>
    </row>
    <row r="8" customFormat="false" ht="23.85" hidden="false" customHeight="false" outlineLevel="0" collapsed="false">
      <c r="A8" s="6" t="s">
        <v>575</v>
      </c>
      <c r="B8" s="6" t="s">
        <v>576</v>
      </c>
      <c r="C8" s="6" t="s">
        <v>577</v>
      </c>
      <c r="D8" s="6" t="s">
        <v>578</v>
      </c>
      <c r="E8" s="6" t="s">
        <v>166</v>
      </c>
    </row>
    <row r="9" customFormat="false" ht="23.85" hidden="false" customHeight="false" outlineLevel="0" collapsed="false">
      <c r="A9" s="6" t="s">
        <v>579</v>
      </c>
      <c r="B9" s="6" t="s">
        <v>580</v>
      </c>
      <c r="C9" s="6" t="s">
        <v>581</v>
      </c>
      <c r="D9" s="6" t="s">
        <v>582</v>
      </c>
      <c r="E9" s="6" t="s">
        <v>166</v>
      </c>
    </row>
    <row r="10" customFormat="false" ht="23.85" hidden="false" customHeight="false" outlineLevel="0" collapsed="false">
      <c r="A10" s="6" t="s">
        <v>583</v>
      </c>
      <c r="B10" s="6" t="s">
        <v>584</v>
      </c>
      <c r="C10" s="6" t="s">
        <v>162</v>
      </c>
      <c r="D10" s="6" t="s">
        <v>585</v>
      </c>
      <c r="E10" s="6" t="s">
        <v>146</v>
      </c>
    </row>
    <row r="11" customFormat="false" ht="23.85" hidden="false" customHeight="false" outlineLevel="0" collapsed="false">
      <c r="A11" s="6" t="s">
        <v>586</v>
      </c>
      <c r="B11" s="6" t="s">
        <v>587</v>
      </c>
      <c r="C11" s="6" t="s">
        <v>588</v>
      </c>
      <c r="D11" s="6" t="s">
        <v>589</v>
      </c>
      <c r="E11" s="6" t="s">
        <v>166</v>
      </c>
    </row>
    <row r="12" customFormat="false" ht="23.85" hidden="false" customHeight="false" outlineLevel="0" collapsed="false">
      <c r="A12" s="6" t="s">
        <v>590</v>
      </c>
      <c r="B12" s="6" t="s">
        <v>591</v>
      </c>
      <c r="C12" s="6" t="s">
        <v>167</v>
      </c>
      <c r="D12" s="6" t="s">
        <v>592</v>
      </c>
      <c r="E12" s="6" t="s">
        <v>169</v>
      </c>
    </row>
    <row r="13" customFormat="false" ht="15" hidden="false" customHeight="false" outlineLevel="0" collapsed="false">
      <c r="A13" s="6" t="s">
        <v>593</v>
      </c>
      <c r="B13" s="6" t="s">
        <v>594</v>
      </c>
      <c r="C13" s="6" t="s">
        <v>595</v>
      </c>
      <c r="D13" s="6" t="s">
        <v>596</v>
      </c>
      <c r="E13" s="6" t="s">
        <v>166</v>
      </c>
    </row>
    <row r="14" customFormat="false" ht="23.85" hidden="false" customHeight="false" outlineLevel="0" collapsed="false">
      <c r="A14" s="6" t="s">
        <v>597</v>
      </c>
      <c r="B14" s="6" t="s">
        <v>598</v>
      </c>
      <c r="C14" s="6" t="s">
        <v>599</v>
      </c>
      <c r="D14" s="6" t="s">
        <v>600</v>
      </c>
      <c r="E14" s="6" t="s">
        <v>192</v>
      </c>
    </row>
    <row r="15" customFormat="false" ht="23.85" hidden="false" customHeight="false" outlineLevel="0" collapsed="false">
      <c r="A15" s="6" t="s">
        <v>601</v>
      </c>
      <c r="B15" s="6" t="s">
        <v>602</v>
      </c>
      <c r="C15" s="6" t="s">
        <v>603</v>
      </c>
      <c r="D15" s="6" t="s">
        <v>604</v>
      </c>
      <c r="E15" s="6" t="s">
        <v>146</v>
      </c>
    </row>
    <row r="16" customFormat="false" ht="23.85" hidden="false" customHeight="false" outlineLevel="0" collapsed="false">
      <c r="A16" s="6" t="s">
        <v>605</v>
      </c>
      <c r="B16" s="6" t="s">
        <v>606</v>
      </c>
      <c r="C16" s="6" t="s">
        <v>607</v>
      </c>
      <c r="D16" s="6" t="s">
        <v>608</v>
      </c>
      <c r="E16" s="6" t="s">
        <v>169</v>
      </c>
    </row>
    <row r="17" customFormat="false" ht="23.85" hidden="false" customHeight="false" outlineLevel="0" collapsed="false">
      <c r="A17" s="6" t="s">
        <v>609</v>
      </c>
      <c r="B17" s="6" t="s">
        <v>610</v>
      </c>
      <c r="C17" s="6" t="s">
        <v>611</v>
      </c>
      <c r="D17" s="6" t="s">
        <v>612</v>
      </c>
      <c r="E17" s="6" t="s">
        <v>166</v>
      </c>
    </row>
    <row r="18" customFormat="false" ht="23.85" hidden="false" customHeight="false" outlineLevel="0" collapsed="false">
      <c r="A18" s="6" t="s">
        <v>613</v>
      </c>
      <c r="B18" s="6" t="s">
        <v>614</v>
      </c>
      <c r="C18" s="6" t="s">
        <v>495</v>
      </c>
      <c r="D18" s="6" t="s">
        <v>615</v>
      </c>
      <c r="E18" s="6" t="s">
        <v>188</v>
      </c>
    </row>
    <row r="19" customFormat="false" ht="23.85" hidden="false" customHeight="false" outlineLevel="0" collapsed="false">
      <c r="A19" s="6" t="s">
        <v>616</v>
      </c>
      <c r="B19" s="6" t="s">
        <v>617</v>
      </c>
      <c r="C19" s="6" t="s">
        <v>618</v>
      </c>
      <c r="D19" s="6" t="s">
        <v>619</v>
      </c>
      <c r="E19" s="6" t="s">
        <v>146</v>
      </c>
    </row>
    <row r="21" customFormat="false" ht="15" hidden="false" customHeight="false" outlineLevel="0" collapsed="false">
      <c r="A21" s="3" t="s">
        <v>620</v>
      </c>
      <c r="B21" s="4"/>
      <c r="C21" s="4"/>
      <c r="D21" s="4"/>
      <c r="E21" s="4"/>
    </row>
    <row r="22" customFormat="false" ht="15" hidden="false" customHeight="false" outlineLevel="0" collapsed="false">
      <c r="A22" s="5" t="s">
        <v>621</v>
      </c>
      <c r="B22" s="5" t="s">
        <v>46</v>
      </c>
      <c r="C22" s="5"/>
      <c r="D22" s="5"/>
      <c r="E22" s="5" t="s">
        <v>142</v>
      </c>
    </row>
    <row r="23" customFormat="false" ht="30" hidden="false" customHeight="true" outlineLevel="0" collapsed="false">
      <c r="A23" s="6" t="s">
        <v>622</v>
      </c>
      <c r="B23" s="6" t="s">
        <v>623</v>
      </c>
      <c r="C23" s="6"/>
      <c r="D23" s="6"/>
      <c r="E23" s="6" t="s">
        <v>169</v>
      </c>
    </row>
    <row r="24" customFormat="false" ht="30" hidden="false" customHeight="true" outlineLevel="0" collapsed="false">
      <c r="A24" s="6" t="s">
        <v>624</v>
      </c>
      <c r="B24" s="6" t="s">
        <v>625</v>
      </c>
      <c r="C24" s="6"/>
      <c r="D24" s="6"/>
      <c r="E24" s="6" t="s">
        <v>146</v>
      </c>
    </row>
    <row r="25" customFormat="false" ht="30" hidden="false" customHeight="true" outlineLevel="0" collapsed="false">
      <c r="A25" s="6" t="s">
        <v>626</v>
      </c>
      <c r="B25" s="6" t="s">
        <v>627</v>
      </c>
      <c r="C25" s="6"/>
      <c r="D25" s="6"/>
      <c r="E25" s="6" t="s">
        <v>192</v>
      </c>
    </row>
    <row r="26" customFormat="false" ht="30" hidden="false" customHeight="true" outlineLevel="0" collapsed="false">
      <c r="A26" s="6" t="s">
        <v>628</v>
      </c>
      <c r="B26" s="6" t="s">
        <v>629</v>
      </c>
      <c r="C26" s="6"/>
      <c r="D26" s="6"/>
      <c r="E26" s="6" t="s">
        <v>146</v>
      </c>
    </row>
    <row r="27" customFormat="false" ht="30" hidden="false" customHeight="true" outlineLevel="0" collapsed="false">
      <c r="A27" s="6" t="s">
        <v>630</v>
      </c>
      <c r="B27" s="6" t="s">
        <v>631</v>
      </c>
      <c r="C27" s="6"/>
      <c r="D27" s="6"/>
      <c r="E27" s="6" t="s">
        <v>146</v>
      </c>
    </row>
    <row r="28" customFormat="false" ht="30" hidden="false" customHeight="true" outlineLevel="0" collapsed="false">
      <c r="A28" s="6" t="s">
        <v>632</v>
      </c>
      <c r="B28" s="6" t="s">
        <v>633</v>
      </c>
      <c r="C28" s="6"/>
      <c r="D28" s="6"/>
      <c r="E28" s="6" t="s">
        <v>146</v>
      </c>
    </row>
    <row r="30" customFormat="false" ht="15" hidden="false" customHeight="false" outlineLevel="0" collapsed="false">
      <c r="A30" s="3" t="s">
        <v>634</v>
      </c>
      <c r="B30" s="4"/>
      <c r="C30" s="4"/>
      <c r="D30" s="4"/>
      <c r="E30" s="4"/>
    </row>
    <row r="31" customFormat="false" ht="15" hidden="false" customHeight="false" outlineLevel="0" collapsed="false">
      <c r="A31" s="5" t="s">
        <v>635</v>
      </c>
      <c r="B31" s="5" t="s">
        <v>636</v>
      </c>
      <c r="C31" s="5" t="s">
        <v>637</v>
      </c>
      <c r="D31" s="5" t="s">
        <v>349</v>
      </c>
      <c r="E31" s="5"/>
    </row>
    <row r="32" customFormat="false" ht="35.05" hidden="false" customHeight="false" outlineLevel="0" collapsed="false">
      <c r="A32" s="6" t="s">
        <v>638</v>
      </c>
      <c r="B32" s="6" t="s">
        <v>639</v>
      </c>
      <c r="C32" s="6" t="s">
        <v>640</v>
      </c>
      <c r="D32" s="6" t="s">
        <v>641</v>
      </c>
      <c r="E32" s="6"/>
    </row>
    <row r="33" customFormat="false" ht="35.05" hidden="false" customHeight="false" outlineLevel="0" collapsed="false">
      <c r="A33" s="6" t="s">
        <v>642</v>
      </c>
      <c r="B33" s="6" t="s">
        <v>643</v>
      </c>
      <c r="C33" s="6" t="s">
        <v>644</v>
      </c>
      <c r="D33" s="6" t="s">
        <v>645</v>
      </c>
      <c r="E33" s="6"/>
    </row>
    <row r="34" customFormat="false" ht="57.45" hidden="false" customHeight="false" outlineLevel="0" collapsed="false">
      <c r="A34" s="6" t="s">
        <v>646</v>
      </c>
      <c r="B34" s="6" t="s">
        <v>647</v>
      </c>
      <c r="C34" s="6" t="s">
        <v>648</v>
      </c>
      <c r="D34" s="6"/>
      <c r="E34" s="6"/>
    </row>
    <row r="35" customFormat="false" ht="46.25" hidden="false" customHeight="false" outlineLevel="0" collapsed="false">
      <c r="A35" s="6" t="s">
        <v>649</v>
      </c>
      <c r="B35" s="6" t="s">
        <v>650</v>
      </c>
      <c r="C35" s="6" t="s">
        <v>651</v>
      </c>
      <c r="D35" s="6"/>
      <c r="E35" s="6"/>
    </row>
  </sheetData>
  <mergeCells count="7">
    <mergeCell ref="A2:E2"/>
    <mergeCell ref="B23:D23"/>
    <mergeCell ref="B24:D24"/>
    <mergeCell ref="B25:D25"/>
    <mergeCell ref="B26:D26"/>
    <mergeCell ref="B27:D27"/>
    <mergeCell ref="B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62"/>
    <col collapsed="false" customWidth="true" hidden="false" outlineLevel="0" max="3" min="3" style="0" width="11"/>
    <col collapsed="false" customWidth="true" hidden="false" outlineLevel="0" max="4" min="4" style="0" width="13"/>
  </cols>
  <sheetData>
    <row r="1" customFormat="false" ht="18.55" hidden="false" customHeight="false" outlineLevel="0" collapsed="false">
      <c r="A1" s="1" t="s">
        <v>652</v>
      </c>
    </row>
    <row r="2" customFormat="false" ht="30" hidden="false" customHeight="true" outlineLevel="0" collapsed="false">
      <c r="A2" s="2" t="s">
        <v>653</v>
      </c>
      <c r="B2" s="2"/>
      <c r="C2" s="2"/>
      <c r="D2" s="2"/>
    </row>
    <row r="4" customFormat="false" ht="15" hidden="false" customHeight="false" outlineLevel="0" collapsed="false">
      <c r="A4" s="3" t="s">
        <v>654</v>
      </c>
      <c r="B4" s="4"/>
      <c r="C4" s="4"/>
      <c r="D4" s="4"/>
    </row>
    <row r="5" customFormat="false" ht="15" hidden="false" customHeight="false" outlineLevel="0" collapsed="false">
      <c r="A5" s="5" t="s">
        <v>655</v>
      </c>
      <c r="B5" s="5" t="s">
        <v>286</v>
      </c>
      <c r="C5" s="5" t="s">
        <v>142</v>
      </c>
      <c r="D5" s="5" t="s">
        <v>348</v>
      </c>
    </row>
    <row r="6" customFormat="false" ht="15" hidden="false" customHeight="false" outlineLevel="0" collapsed="false">
      <c r="A6" s="15" t="s">
        <v>656</v>
      </c>
      <c r="B6" s="6" t="s">
        <v>657</v>
      </c>
      <c r="C6" s="6" t="s">
        <v>146</v>
      </c>
      <c r="D6" s="11" t="s">
        <v>658</v>
      </c>
    </row>
    <row r="7" customFormat="false" ht="23.85" hidden="false" customHeight="false" outlineLevel="0" collapsed="false">
      <c r="A7" s="15" t="s">
        <v>659</v>
      </c>
      <c r="B7" s="6" t="s">
        <v>660</v>
      </c>
      <c r="C7" s="6" t="s">
        <v>146</v>
      </c>
      <c r="D7" s="11" t="s">
        <v>658</v>
      </c>
    </row>
    <row r="8" customFormat="false" ht="15" hidden="false" customHeight="false" outlineLevel="0" collapsed="false">
      <c r="A8" s="15" t="s">
        <v>661</v>
      </c>
      <c r="B8" s="6" t="s">
        <v>662</v>
      </c>
      <c r="C8" s="6" t="s">
        <v>146</v>
      </c>
      <c r="D8" s="11" t="s">
        <v>658</v>
      </c>
    </row>
    <row r="9" customFormat="false" ht="15" hidden="false" customHeight="false" outlineLevel="0" collapsed="false">
      <c r="A9" s="15" t="s">
        <v>663</v>
      </c>
      <c r="B9" s="6" t="s">
        <v>664</v>
      </c>
      <c r="C9" s="6" t="s">
        <v>146</v>
      </c>
      <c r="D9" s="11" t="s">
        <v>658</v>
      </c>
    </row>
    <row r="10" customFormat="false" ht="15" hidden="false" customHeight="false" outlineLevel="0" collapsed="false">
      <c r="A10" s="15" t="s">
        <v>665</v>
      </c>
      <c r="B10" s="6" t="s">
        <v>666</v>
      </c>
      <c r="C10" s="6" t="s">
        <v>146</v>
      </c>
      <c r="D10" s="11" t="s">
        <v>658</v>
      </c>
    </row>
    <row r="11" customFormat="false" ht="23.85" hidden="false" customHeight="false" outlineLevel="0" collapsed="false">
      <c r="A11" s="15" t="s">
        <v>667</v>
      </c>
      <c r="B11" s="6" t="s">
        <v>668</v>
      </c>
      <c r="C11" s="6" t="s">
        <v>146</v>
      </c>
      <c r="D11" s="11" t="s">
        <v>669</v>
      </c>
    </row>
    <row r="12" customFormat="false" ht="15" hidden="false" customHeight="false" outlineLevel="0" collapsed="false">
      <c r="A12" s="15" t="s">
        <v>670</v>
      </c>
      <c r="B12" s="6" t="s">
        <v>671</v>
      </c>
      <c r="C12" s="6" t="s">
        <v>146</v>
      </c>
      <c r="D12" s="11" t="s">
        <v>669</v>
      </c>
    </row>
    <row r="13" customFormat="false" ht="15" hidden="false" customHeight="false" outlineLevel="0" collapsed="false">
      <c r="A13" s="15" t="s">
        <v>672</v>
      </c>
      <c r="B13" s="6" t="s">
        <v>673</v>
      </c>
      <c r="C13" s="6" t="s">
        <v>146</v>
      </c>
      <c r="D13" s="11" t="s">
        <v>669</v>
      </c>
    </row>
    <row r="14" customFormat="false" ht="15" hidden="false" customHeight="false" outlineLevel="0" collapsed="false">
      <c r="A14" s="15" t="s">
        <v>674</v>
      </c>
      <c r="B14" s="6" t="s">
        <v>675</v>
      </c>
      <c r="C14" s="6" t="s">
        <v>146</v>
      </c>
      <c r="D14" s="11" t="s">
        <v>669</v>
      </c>
    </row>
    <row r="15" customFormat="false" ht="15" hidden="false" customHeight="false" outlineLevel="0" collapsed="false">
      <c r="A15" s="15" t="s">
        <v>676</v>
      </c>
      <c r="B15" s="6" t="s">
        <v>677</v>
      </c>
      <c r="C15" s="6" t="s">
        <v>166</v>
      </c>
      <c r="D15" s="11" t="s">
        <v>669</v>
      </c>
    </row>
    <row r="16" customFormat="false" ht="15" hidden="false" customHeight="false" outlineLevel="0" collapsed="false">
      <c r="A16" s="15" t="s">
        <v>678</v>
      </c>
      <c r="B16" s="6" t="s">
        <v>679</v>
      </c>
      <c r="C16" s="6" t="s">
        <v>188</v>
      </c>
      <c r="D16" s="11" t="s">
        <v>669</v>
      </c>
    </row>
    <row r="17" customFormat="false" ht="15" hidden="false" customHeight="false" outlineLevel="0" collapsed="false">
      <c r="A17" s="15" t="s">
        <v>680</v>
      </c>
      <c r="B17" s="6" t="s">
        <v>681</v>
      </c>
      <c r="C17" s="6" t="s">
        <v>188</v>
      </c>
      <c r="D17" s="11" t="s">
        <v>669</v>
      </c>
    </row>
    <row r="18" customFormat="false" ht="15" hidden="false" customHeight="false" outlineLevel="0" collapsed="false">
      <c r="A18" s="15" t="s">
        <v>682</v>
      </c>
      <c r="B18" s="6" t="s">
        <v>683</v>
      </c>
      <c r="C18" s="6" t="s">
        <v>169</v>
      </c>
      <c r="D18" s="11" t="s">
        <v>669</v>
      </c>
    </row>
    <row r="19" customFormat="false" ht="15" hidden="false" customHeight="false" outlineLevel="0" collapsed="false">
      <c r="A19" s="15" t="s">
        <v>684</v>
      </c>
      <c r="B19" s="6" t="s">
        <v>685</v>
      </c>
      <c r="C19" s="6" t="s">
        <v>166</v>
      </c>
      <c r="D19" s="11" t="s">
        <v>669</v>
      </c>
    </row>
    <row r="20" customFormat="false" ht="15" hidden="false" customHeight="false" outlineLevel="0" collapsed="false">
      <c r="A20" s="15" t="s">
        <v>686</v>
      </c>
      <c r="B20" s="6" t="s">
        <v>196</v>
      </c>
      <c r="C20" s="6" t="s">
        <v>146</v>
      </c>
      <c r="D20" s="11" t="s">
        <v>669</v>
      </c>
    </row>
    <row r="21" customFormat="false" ht="15" hidden="false" customHeight="false" outlineLevel="0" collapsed="false">
      <c r="A21" s="15" t="s">
        <v>687</v>
      </c>
      <c r="B21" s="6" t="s">
        <v>198</v>
      </c>
      <c r="C21" s="6" t="s">
        <v>200</v>
      </c>
      <c r="D21" s="11" t="s">
        <v>669</v>
      </c>
    </row>
    <row r="22" customFormat="false" ht="15" hidden="false" customHeight="false" outlineLevel="0" collapsed="false">
      <c r="A22" s="15" t="s">
        <v>688</v>
      </c>
      <c r="B22" s="6" t="s">
        <v>689</v>
      </c>
      <c r="C22" s="6" t="s">
        <v>146</v>
      </c>
      <c r="D22" s="11" t="s">
        <v>669</v>
      </c>
    </row>
    <row r="23" customFormat="false" ht="15" hidden="false" customHeight="false" outlineLevel="0" collapsed="false">
      <c r="A23" s="15" t="s">
        <v>690</v>
      </c>
      <c r="B23" s="6" t="s">
        <v>691</v>
      </c>
      <c r="C23" s="6" t="s">
        <v>146</v>
      </c>
      <c r="D23" s="11" t="s">
        <v>669</v>
      </c>
    </row>
    <row r="24" customFormat="false" ht="15" hidden="false" customHeight="false" outlineLevel="0" collapsed="false">
      <c r="A24" s="15" t="s">
        <v>692</v>
      </c>
      <c r="B24" s="6" t="s">
        <v>693</v>
      </c>
      <c r="C24" s="6" t="s">
        <v>146</v>
      </c>
      <c r="D24" s="11" t="s">
        <v>658</v>
      </c>
    </row>
    <row r="25" customFormat="false" ht="15" hidden="false" customHeight="false" outlineLevel="0" collapsed="false">
      <c r="A25" s="15" t="s">
        <v>694</v>
      </c>
      <c r="B25" s="6" t="s">
        <v>695</v>
      </c>
      <c r="C25" s="6" t="s">
        <v>188</v>
      </c>
      <c r="D25" s="11" t="s">
        <v>669</v>
      </c>
    </row>
    <row r="26" customFormat="false" ht="23.85" hidden="false" customHeight="false" outlineLevel="0" collapsed="false">
      <c r="A26" s="15" t="s">
        <v>696</v>
      </c>
      <c r="B26" s="6" t="s">
        <v>697</v>
      </c>
      <c r="C26" s="6" t="s">
        <v>146</v>
      </c>
      <c r="D26" s="11" t="s">
        <v>669</v>
      </c>
    </row>
    <row r="27" customFormat="false" ht="15" hidden="false" customHeight="false" outlineLevel="0" collapsed="false">
      <c r="A27" s="15" t="s">
        <v>698</v>
      </c>
      <c r="B27" s="6" t="s">
        <v>699</v>
      </c>
      <c r="C27" s="6" t="s">
        <v>146</v>
      </c>
      <c r="D27" s="11" t="s">
        <v>669</v>
      </c>
    </row>
    <row r="28" customFormat="false" ht="15" hidden="false" customHeight="false" outlineLevel="0" collapsed="false">
      <c r="A28" s="15" t="s">
        <v>700</v>
      </c>
      <c r="B28" s="6" t="s">
        <v>701</v>
      </c>
      <c r="C28" s="6" t="s">
        <v>702</v>
      </c>
      <c r="D28" s="11" t="s">
        <v>669</v>
      </c>
    </row>
    <row r="29" customFormat="false" ht="15" hidden="false" customHeight="false" outlineLevel="0" collapsed="false">
      <c r="A29" s="15" t="s">
        <v>703</v>
      </c>
      <c r="B29" s="6" t="s">
        <v>704</v>
      </c>
      <c r="C29" s="6" t="s">
        <v>192</v>
      </c>
      <c r="D29" s="11" t="s">
        <v>669</v>
      </c>
    </row>
    <row r="30" customFormat="false" ht="15" hidden="false" customHeight="false" outlineLevel="0" collapsed="false">
      <c r="A30" s="15" t="s">
        <v>705</v>
      </c>
      <c r="B30" s="6" t="s">
        <v>508</v>
      </c>
      <c r="C30" s="6" t="s">
        <v>192</v>
      </c>
      <c r="D30" s="11" t="s">
        <v>669</v>
      </c>
    </row>
    <row r="31" customFormat="false" ht="15" hidden="false" customHeight="false" outlineLevel="0" collapsed="false">
      <c r="A31" s="15" t="s">
        <v>706</v>
      </c>
      <c r="B31" s="6" t="s">
        <v>707</v>
      </c>
      <c r="C31" s="6" t="s">
        <v>146</v>
      </c>
      <c r="D31" s="11" t="s">
        <v>658</v>
      </c>
    </row>
    <row r="32" customFormat="false" ht="15" hidden="false" customHeight="false" outlineLevel="0" collapsed="false">
      <c r="A32" s="15" t="s">
        <v>708</v>
      </c>
      <c r="B32" s="6" t="s">
        <v>709</v>
      </c>
      <c r="C32" s="6" t="s">
        <v>146</v>
      </c>
      <c r="D32" s="11" t="s">
        <v>669</v>
      </c>
    </row>
    <row r="33" customFormat="false" ht="15" hidden="false" customHeight="false" outlineLevel="0" collapsed="false">
      <c r="A33" s="15" t="s">
        <v>710</v>
      </c>
      <c r="B33" s="6" t="s">
        <v>711</v>
      </c>
      <c r="C33" s="6" t="s">
        <v>146</v>
      </c>
      <c r="D33" s="11" t="s">
        <v>669</v>
      </c>
    </row>
    <row r="34" customFormat="false" ht="15" hidden="false" customHeight="false" outlineLevel="0" collapsed="false">
      <c r="A34" s="15" t="s">
        <v>712</v>
      </c>
      <c r="B34" s="6" t="s">
        <v>713</v>
      </c>
      <c r="C34" s="6" t="s">
        <v>146</v>
      </c>
      <c r="D34" s="11" t="s">
        <v>658</v>
      </c>
    </row>
    <row r="35" customFormat="false" ht="15" hidden="false" customHeight="false" outlineLevel="0" collapsed="false">
      <c r="A35" s="15" t="s">
        <v>714</v>
      </c>
      <c r="B35" s="6" t="s">
        <v>715</v>
      </c>
      <c r="C35" s="6" t="s">
        <v>146</v>
      </c>
      <c r="D35" s="11" t="s">
        <v>658</v>
      </c>
    </row>
    <row r="36" customFormat="false" ht="23.85" hidden="false" customHeight="false" outlineLevel="0" collapsed="false">
      <c r="A36" s="15" t="s">
        <v>716</v>
      </c>
      <c r="B36" s="6" t="s">
        <v>717</v>
      </c>
      <c r="C36" s="6" t="s">
        <v>146</v>
      </c>
      <c r="D36" s="11" t="s">
        <v>658</v>
      </c>
    </row>
    <row r="37" customFormat="false" ht="15" hidden="false" customHeight="false" outlineLevel="0" collapsed="false">
      <c r="A37" s="15" t="s">
        <v>718</v>
      </c>
      <c r="B37" s="6" t="s">
        <v>719</v>
      </c>
      <c r="C37" s="6" t="s">
        <v>146</v>
      </c>
      <c r="D37" s="11" t="s">
        <v>658</v>
      </c>
    </row>
    <row r="38" customFormat="false" ht="15" hidden="false" customHeight="false" outlineLevel="0" collapsed="false">
      <c r="A38" s="15" t="s">
        <v>720</v>
      </c>
      <c r="B38" s="6" t="s">
        <v>721</v>
      </c>
      <c r="C38" s="6" t="s">
        <v>146</v>
      </c>
      <c r="D38" s="11" t="s">
        <v>658</v>
      </c>
    </row>
    <row r="40" customFormat="false" ht="15" hidden="false" customHeight="false" outlineLevel="0" collapsed="false">
      <c r="A40" s="3" t="s">
        <v>722</v>
      </c>
      <c r="B40" s="4"/>
      <c r="C40" s="4"/>
      <c r="D40" s="4"/>
    </row>
    <row r="41" customFormat="false" ht="15" hidden="false" customHeight="false" outlineLevel="0" collapsed="false">
      <c r="A41" s="5" t="s">
        <v>723</v>
      </c>
      <c r="B41" s="5" t="s">
        <v>286</v>
      </c>
    </row>
    <row r="42" customFormat="false" ht="23.85" hidden="false" customHeight="false" outlineLevel="0" collapsed="false">
      <c r="A42" s="15" t="s">
        <v>724</v>
      </c>
      <c r="B42" s="6" t="s">
        <v>725</v>
      </c>
    </row>
    <row r="43" customFormat="false" ht="23.85" hidden="false" customHeight="false" outlineLevel="0" collapsed="false">
      <c r="A43" s="15" t="s">
        <v>726</v>
      </c>
      <c r="B43" s="6" t="s">
        <v>727</v>
      </c>
    </row>
    <row r="44" customFormat="false" ht="15" hidden="false" customHeight="false" outlineLevel="0" collapsed="false">
      <c r="A44" s="15" t="s">
        <v>728</v>
      </c>
      <c r="B44" s="6" t="s">
        <v>729</v>
      </c>
    </row>
    <row r="45" customFormat="false" ht="15" hidden="false" customHeight="false" outlineLevel="0" collapsed="false">
      <c r="A45" s="15" t="s">
        <v>730</v>
      </c>
      <c r="B45" s="6" t="s">
        <v>731</v>
      </c>
    </row>
    <row r="46" customFormat="false" ht="23.85" hidden="false" customHeight="false" outlineLevel="0" collapsed="false">
      <c r="A46" s="15" t="s">
        <v>732</v>
      </c>
      <c r="B46" s="6" t="s">
        <v>733</v>
      </c>
    </row>
    <row r="48" customFormat="false" ht="15" hidden="false" customHeight="false" outlineLevel="0" collapsed="false">
      <c r="A48" s="3" t="s">
        <v>734</v>
      </c>
      <c r="B48" s="4"/>
      <c r="C48" s="4"/>
      <c r="D48" s="4"/>
    </row>
    <row r="49" customFormat="false" ht="15" hidden="false" customHeight="false" outlineLevel="0" collapsed="false">
      <c r="A49" s="5" t="s">
        <v>393</v>
      </c>
      <c r="B49" s="5" t="s">
        <v>735</v>
      </c>
    </row>
    <row r="50" customFormat="false" ht="23.85" hidden="false" customHeight="false" outlineLevel="0" collapsed="false">
      <c r="A50" s="6" t="s">
        <v>146</v>
      </c>
      <c r="B50" s="6" t="s">
        <v>736</v>
      </c>
    </row>
    <row r="51" customFormat="false" ht="23.85" hidden="false" customHeight="false" outlineLevel="0" collapsed="false">
      <c r="A51" s="6" t="s">
        <v>166</v>
      </c>
      <c r="B51" s="6" t="s">
        <v>737</v>
      </c>
    </row>
    <row r="52" customFormat="false" ht="23.85" hidden="false" customHeight="false" outlineLevel="0" collapsed="false">
      <c r="A52" s="6" t="s">
        <v>188</v>
      </c>
      <c r="B52" s="6" t="s">
        <v>738</v>
      </c>
    </row>
    <row r="53" customFormat="false" ht="23.85" hidden="false" customHeight="false" outlineLevel="0" collapsed="false">
      <c r="A53" s="6" t="s">
        <v>169</v>
      </c>
      <c r="B53" s="6" t="s">
        <v>739</v>
      </c>
    </row>
    <row r="54" customFormat="false" ht="23.85" hidden="false" customHeight="false" outlineLevel="0" collapsed="false">
      <c r="A54" s="6" t="s">
        <v>192</v>
      </c>
      <c r="B54" s="6" t="s">
        <v>740</v>
      </c>
    </row>
    <row r="55" customFormat="false" ht="23.85" hidden="false" customHeight="false" outlineLevel="0" collapsed="false">
      <c r="A55" s="6" t="s">
        <v>200</v>
      </c>
      <c r="B55" s="6" t="s">
        <v>741</v>
      </c>
    </row>
    <row r="56" customFormat="false" ht="23.85" hidden="false" customHeight="false" outlineLevel="0" collapsed="false">
      <c r="A56" s="6" t="s">
        <v>742</v>
      </c>
      <c r="B56" s="6" t="s">
        <v>743</v>
      </c>
    </row>
    <row r="57" customFormat="false" ht="23.85" hidden="false" customHeight="false" outlineLevel="0" collapsed="false">
      <c r="A57" s="6" t="s">
        <v>744</v>
      </c>
      <c r="B57" s="6" t="s">
        <v>745</v>
      </c>
    </row>
  </sheetData>
  <mergeCells count="1">
    <mergeCell ref="A2:D2"/>
  </mergeCells>
  <conditionalFormatting sqref="D6:D38">
    <cfRule type="cellIs" priority="2" operator="equal" aboveAverage="0" equalAverage="0" bottom="0" percent="0" rank="0" text="" dxfId="6">
      <formula>"Đã tạo"</formula>
    </cfRule>
  </conditionalFormatting>
  <dataValidations count="1">
    <dataValidation allowBlank="true" errorStyle="stop" operator="between" showDropDown="false" showErrorMessage="false" showInputMessage="false" sqref="D6:D38" type="list">
      <formula1>"Đã tạo,Chưa tạo"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44"/>
    <col collapsed="false" customWidth="true" hidden="false" outlineLevel="0" max="4" min="4" style="0" width="50"/>
    <col collapsed="false" customWidth="true" hidden="false" outlineLevel="0" max="5" min="5" style="0" width="14"/>
  </cols>
  <sheetData>
    <row r="1" customFormat="false" ht="18.55" hidden="false" customHeight="false" outlineLevel="0" collapsed="false">
      <c r="A1" s="1" t="s">
        <v>746</v>
      </c>
    </row>
    <row r="2" customFormat="false" ht="43.5" hidden="false" customHeight="true" outlineLevel="0" collapsed="false">
      <c r="A2" s="2" t="s">
        <v>747</v>
      </c>
      <c r="B2" s="2"/>
      <c r="C2" s="2"/>
      <c r="D2" s="2"/>
      <c r="E2" s="2"/>
    </row>
    <row r="4" customFormat="false" ht="15" hidden="false" customHeight="false" outlineLevel="0" collapsed="false">
      <c r="A4" s="3" t="s">
        <v>748</v>
      </c>
      <c r="B4" s="4"/>
      <c r="C4" s="4"/>
      <c r="D4" s="4"/>
      <c r="E4" s="4"/>
    </row>
    <row r="5" customFormat="false" ht="15" hidden="false" customHeight="false" outlineLevel="0" collapsed="false">
      <c r="A5" s="5" t="s">
        <v>749</v>
      </c>
      <c r="B5" s="5" t="s">
        <v>750</v>
      </c>
      <c r="C5" s="5" t="s">
        <v>473</v>
      </c>
      <c r="D5" s="5" t="s">
        <v>286</v>
      </c>
      <c r="E5" s="5" t="s">
        <v>142</v>
      </c>
    </row>
    <row r="6" customFormat="false" ht="23.85" hidden="false" customHeight="false" outlineLevel="0" collapsed="false">
      <c r="A6" s="6" t="s">
        <v>751</v>
      </c>
      <c r="B6" s="6" t="s">
        <v>752</v>
      </c>
      <c r="C6" s="6" t="s">
        <v>753</v>
      </c>
      <c r="D6" s="6" t="s">
        <v>754</v>
      </c>
      <c r="E6" s="6" t="s">
        <v>146</v>
      </c>
    </row>
    <row r="7" customFormat="false" ht="15" hidden="false" customHeight="false" outlineLevel="0" collapsed="false">
      <c r="A7" s="6" t="s">
        <v>751</v>
      </c>
      <c r="B7" s="6" t="s">
        <v>755</v>
      </c>
      <c r="C7" s="6" t="s">
        <v>756</v>
      </c>
      <c r="D7" s="6" t="s">
        <v>757</v>
      </c>
      <c r="E7" s="6" t="s">
        <v>146</v>
      </c>
    </row>
    <row r="8" customFormat="false" ht="15" hidden="false" customHeight="false" outlineLevel="0" collapsed="false">
      <c r="A8" s="6" t="s">
        <v>751</v>
      </c>
      <c r="B8" s="6" t="s">
        <v>758</v>
      </c>
      <c r="C8" s="6" t="s">
        <v>759</v>
      </c>
      <c r="D8" s="6" t="s">
        <v>760</v>
      </c>
      <c r="E8" s="6" t="s">
        <v>192</v>
      </c>
    </row>
    <row r="9" customFormat="false" ht="15" hidden="false" customHeight="false" outlineLevel="0" collapsed="false">
      <c r="A9" s="6" t="s">
        <v>761</v>
      </c>
      <c r="B9" s="6" t="s">
        <v>474</v>
      </c>
      <c r="C9" s="6" t="s">
        <v>762</v>
      </c>
      <c r="D9" s="6" t="s">
        <v>763</v>
      </c>
      <c r="E9" s="6" t="s">
        <v>146</v>
      </c>
    </row>
    <row r="10" customFormat="false" ht="15" hidden="false" customHeight="false" outlineLevel="0" collapsed="false">
      <c r="A10" s="6" t="s">
        <v>764</v>
      </c>
      <c r="B10" s="6" t="s">
        <v>765</v>
      </c>
      <c r="C10" s="6" t="s">
        <v>766</v>
      </c>
      <c r="D10" s="6" t="s">
        <v>767</v>
      </c>
      <c r="E10" s="6" t="s">
        <v>702</v>
      </c>
    </row>
    <row r="11" customFormat="false" ht="15" hidden="false" customHeight="false" outlineLevel="0" collapsed="false">
      <c r="A11" s="6" t="s">
        <v>764</v>
      </c>
      <c r="B11" s="6" t="s">
        <v>768</v>
      </c>
      <c r="C11" s="6" t="s">
        <v>769</v>
      </c>
      <c r="D11" s="6" t="s">
        <v>770</v>
      </c>
      <c r="E11" s="6" t="s">
        <v>702</v>
      </c>
    </row>
    <row r="12" customFormat="false" ht="15" hidden="false" customHeight="false" outlineLevel="0" collapsed="false">
      <c r="A12" s="6" t="s">
        <v>764</v>
      </c>
      <c r="B12" s="6" t="s">
        <v>771</v>
      </c>
      <c r="C12" s="6" t="s">
        <v>772</v>
      </c>
      <c r="D12" s="6" t="s">
        <v>773</v>
      </c>
      <c r="E12" s="6" t="s">
        <v>702</v>
      </c>
    </row>
    <row r="13" customFormat="false" ht="15" hidden="false" customHeight="false" outlineLevel="0" collapsed="false">
      <c r="A13" s="6" t="s">
        <v>764</v>
      </c>
      <c r="B13" s="6" t="s">
        <v>505</v>
      </c>
      <c r="C13" s="6" t="s">
        <v>774</v>
      </c>
      <c r="D13" s="6" t="s">
        <v>775</v>
      </c>
      <c r="E13" s="6" t="s">
        <v>192</v>
      </c>
    </row>
    <row r="14" customFormat="false" ht="15" hidden="false" customHeight="false" outlineLevel="0" collapsed="false">
      <c r="A14" s="6" t="s">
        <v>764</v>
      </c>
      <c r="B14" s="6" t="s">
        <v>776</v>
      </c>
      <c r="C14" s="6" t="s">
        <v>158</v>
      </c>
      <c r="D14" s="6" t="s">
        <v>777</v>
      </c>
      <c r="E14" s="6" t="s">
        <v>702</v>
      </c>
    </row>
    <row r="15" customFormat="false" ht="15" hidden="false" customHeight="false" outlineLevel="0" collapsed="false">
      <c r="A15" s="6" t="s">
        <v>764</v>
      </c>
      <c r="B15" s="6" t="s">
        <v>778</v>
      </c>
      <c r="C15" s="6" t="s">
        <v>162</v>
      </c>
      <c r="D15" s="6" t="s">
        <v>779</v>
      </c>
      <c r="E15" s="6" t="s">
        <v>702</v>
      </c>
    </row>
    <row r="16" customFormat="false" ht="15" hidden="false" customHeight="false" outlineLevel="0" collapsed="false">
      <c r="A16" s="6" t="s">
        <v>764</v>
      </c>
      <c r="B16" s="6" t="s">
        <v>780</v>
      </c>
      <c r="C16" s="6" t="s">
        <v>164</v>
      </c>
      <c r="D16" s="6" t="s">
        <v>781</v>
      </c>
      <c r="E16" s="6" t="s">
        <v>166</v>
      </c>
    </row>
    <row r="17" customFormat="false" ht="15" hidden="false" customHeight="false" outlineLevel="0" collapsed="false">
      <c r="A17" s="6" t="s">
        <v>764</v>
      </c>
      <c r="B17" s="6" t="s">
        <v>170</v>
      </c>
      <c r="C17" s="6" t="s">
        <v>782</v>
      </c>
      <c r="D17" s="6" t="s">
        <v>783</v>
      </c>
      <c r="E17" s="6" t="s">
        <v>702</v>
      </c>
    </row>
    <row r="18" customFormat="false" ht="15" hidden="false" customHeight="false" outlineLevel="0" collapsed="false">
      <c r="A18" s="6" t="s">
        <v>764</v>
      </c>
      <c r="B18" s="6" t="s">
        <v>784</v>
      </c>
      <c r="C18" s="6" t="s">
        <v>785</v>
      </c>
      <c r="D18" s="6" t="s">
        <v>786</v>
      </c>
      <c r="E18" s="6" t="s">
        <v>192</v>
      </c>
    </row>
    <row r="19" customFormat="false" ht="15" hidden="false" customHeight="false" outlineLevel="0" collapsed="false">
      <c r="A19" s="6" t="s">
        <v>764</v>
      </c>
      <c r="B19" s="6" t="s">
        <v>550</v>
      </c>
      <c r="C19" s="6" t="s">
        <v>167</v>
      </c>
      <c r="D19" s="6" t="s">
        <v>787</v>
      </c>
      <c r="E19" s="6" t="s">
        <v>169</v>
      </c>
    </row>
    <row r="20" customFormat="false" ht="15" hidden="false" customHeight="false" outlineLevel="0" collapsed="false">
      <c r="A20" s="6" t="s">
        <v>764</v>
      </c>
      <c r="B20" s="6" t="s">
        <v>176</v>
      </c>
      <c r="C20" s="6" t="s">
        <v>788</v>
      </c>
      <c r="D20" s="6" t="s">
        <v>789</v>
      </c>
      <c r="E20" s="6" t="s">
        <v>166</v>
      </c>
    </row>
    <row r="21" customFormat="false" ht="15" hidden="false" customHeight="false" outlineLevel="0" collapsed="false">
      <c r="A21" s="6" t="s">
        <v>764</v>
      </c>
      <c r="B21" s="6" t="s">
        <v>790</v>
      </c>
      <c r="C21" s="6" t="s">
        <v>791</v>
      </c>
      <c r="D21" s="6" t="s">
        <v>792</v>
      </c>
      <c r="E21" s="6" t="s">
        <v>166</v>
      </c>
    </row>
    <row r="22" customFormat="false" ht="15" hidden="false" customHeight="false" outlineLevel="0" collapsed="false">
      <c r="A22" s="6" t="s">
        <v>764</v>
      </c>
      <c r="B22" s="6" t="s">
        <v>793</v>
      </c>
      <c r="C22" s="6" t="s">
        <v>794</v>
      </c>
      <c r="D22" s="6" t="s">
        <v>795</v>
      </c>
      <c r="E22" s="6" t="s">
        <v>166</v>
      </c>
    </row>
    <row r="23" customFormat="false" ht="15" hidden="false" customHeight="false" outlineLevel="0" collapsed="false">
      <c r="A23" s="6" t="s">
        <v>764</v>
      </c>
      <c r="B23" s="6" t="s">
        <v>796</v>
      </c>
      <c r="C23" s="6" t="s">
        <v>797</v>
      </c>
      <c r="D23" s="6" t="s">
        <v>798</v>
      </c>
      <c r="E23" s="6" t="s">
        <v>166</v>
      </c>
    </row>
    <row r="24" customFormat="false" ht="23.85" hidden="false" customHeight="false" outlineLevel="0" collapsed="false">
      <c r="A24" s="6" t="s">
        <v>764</v>
      </c>
      <c r="B24" s="6" t="s">
        <v>799</v>
      </c>
      <c r="C24" s="6" t="s">
        <v>800</v>
      </c>
      <c r="D24" s="6" t="s">
        <v>801</v>
      </c>
      <c r="E24" s="6" t="s">
        <v>702</v>
      </c>
    </row>
    <row r="25" customFormat="false" ht="23.85" hidden="false" customHeight="false" outlineLevel="0" collapsed="false">
      <c r="A25" s="6" t="s">
        <v>764</v>
      </c>
      <c r="B25" s="6" t="s">
        <v>802</v>
      </c>
      <c r="C25" s="6" t="s">
        <v>803</v>
      </c>
      <c r="D25" s="6" t="s">
        <v>804</v>
      </c>
      <c r="E25" s="6" t="s">
        <v>702</v>
      </c>
    </row>
    <row r="26" customFormat="false" ht="15" hidden="false" customHeight="false" outlineLevel="0" collapsed="false">
      <c r="A26" s="6" t="s">
        <v>764</v>
      </c>
      <c r="B26" s="6" t="s">
        <v>616</v>
      </c>
      <c r="C26" s="6" t="s">
        <v>805</v>
      </c>
      <c r="D26" s="6" t="s">
        <v>806</v>
      </c>
      <c r="E26" s="6" t="s">
        <v>702</v>
      </c>
    </row>
    <row r="27" customFormat="false" ht="15" hidden="false" customHeight="false" outlineLevel="0" collapsed="false">
      <c r="A27" s="6" t="s">
        <v>764</v>
      </c>
      <c r="B27" s="6" t="s">
        <v>807</v>
      </c>
      <c r="C27" s="6" t="s">
        <v>808</v>
      </c>
      <c r="D27" s="6" t="s">
        <v>809</v>
      </c>
      <c r="E27" s="6" t="s">
        <v>702</v>
      </c>
    </row>
    <row r="28" customFormat="false" ht="15" hidden="false" customHeight="false" outlineLevel="0" collapsed="false">
      <c r="A28" s="6" t="s">
        <v>810</v>
      </c>
      <c r="B28" s="6" t="s">
        <v>811</v>
      </c>
      <c r="C28" s="6" t="s">
        <v>812</v>
      </c>
      <c r="D28" s="6" t="s">
        <v>813</v>
      </c>
      <c r="E28" s="6" t="s">
        <v>192</v>
      </c>
    </row>
    <row r="29" customFormat="false" ht="15" hidden="false" customHeight="false" outlineLevel="0" collapsed="false">
      <c r="A29" s="6" t="s">
        <v>810</v>
      </c>
      <c r="B29" s="6" t="s">
        <v>814</v>
      </c>
      <c r="C29" s="6" t="s">
        <v>815</v>
      </c>
      <c r="D29" s="6" t="s">
        <v>816</v>
      </c>
      <c r="E29" s="6" t="s">
        <v>200</v>
      </c>
    </row>
    <row r="30" customFormat="false" ht="15" hidden="false" customHeight="false" outlineLevel="0" collapsed="false">
      <c r="A30" s="6" t="s">
        <v>817</v>
      </c>
      <c r="B30" s="6" t="s">
        <v>818</v>
      </c>
      <c r="C30" s="6" t="s">
        <v>819</v>
      </c>
      <c r="D30" s="6" t="s">
        <v>820</v>
      </c>
      <c r="E30" s="6" t="s">
        <v>200</v>
      </c>
    </row>
    <row r="32" customFormat="false" ht="15" hidden="false" customHeight="false" outlineLevel="0" collapsed="false">
      <c r="A32" s="3" t="s">
        <v>821</v>
      </c>
      <c r="B32" s="4"/>
      <c r="C32" s="4"/>
      <c r="D32" s="4"/>
      <c r="E32" s="4"/>
    </row>
    <row r="33" customFormat="false" ht="15" hidden="false" customHeight="false" outlineLevel="0" collapsed="false">
      <c r="A33" s="5" t="s">
        <v>393</v>
      </c>
      <c r="B33" s="5" t="s">
        <v>822</v>
      </c>
    </row>
    <row r="34" customFormat="false" ht="15" hidden="false" customHeight="true" outlineLevel="0" collapsed="false">
      <c r="A34" s="6" t="s">
        <v>146</v>
      </c>
      <c r="B34" s="6" t="s">
        <v>823</v>
      </c>
      <c r="C34" s="6"/>
      <c r="D34" s="6"/>
      <c r="E34" s="6"/>
    </row>
    <row r="35" customFormat="false" ht="15" hidden="false" customHeight="true" outlineLevel="0" collapsed="false">
      <c r="A35" s="6" t="s">
        <v>166</v>
      </c>
      <c r="B35" s="6" t="s">
        <v>824</v>
      </c>
      <c r="C35" s="6"/>
      <c r="D35" s="6"/>
      <c r="E35" s="6"/>
    </row>
    <row r="36" customFormat="false" ht="15" hidden="false" customHeight="true" outlineLevel="0" collapsed="false">
      <c r="A36" s="6" t="s">
        <v>188</v>
      </c>
      <c r="B36" s="6" t="s">
        <v>825</v>
      </c>
      <c r="C36" s="6"/>
      <c r="D36" s="6"/>
      <c r="E36" s="6"/>
    </row>
    <row r="37" customFormat="false" ht="15" hidden="false" customHeight="true" outlineLevel="0" collapsed="false">
      <c r="A37" s="6" t="s">
        <v>169</v>
      </c>
      <c r="B37" s="6" t="s">
        <v>826</v>
      </c>
      <c r="C37" s="6"/>
      <c r="D37" s="6"/>
      <c r="E37" s="6"/>
    </row>
    <row r="38" customFormat="false" ht="15" hidden="false" customHeight="true" outlineLevel="0" collapsed="false">
      <c r="A38" s="6" t="s">
        <v>192</v>
      </c>
      <c r="B38" s="6" t="s">
        <v>827</v>
      </c>
      <c r="C38" s="6"/>
      <c r="D38" s="6"/>
      <c r="E38" s="6"/>
    </row>
    <row r="39" customFormat="false" ht="15" hidden="false" customHeight="true" outlineLevel="0" collapsed="false">
      <c r="A39" s="6" t="s">
        <v>200</v>
      </c>
      <c r="B39" s="6" t="s">
        <v>828</v>
      </c>
      <c r="C39" s="6"/>
      <c r="D39" s="6"/>
      <c r="E39" s="6"/>
    </row>
    <row r="40" customFormat="false" ht="15" hidden="false" customHeight="true" outlineLevel="0" collapsed="false">
      <c r="A40" s="6" t="s">
        <v>742</v>
      </c>
      <c r="B40" s="6" t="s">
        <v>829</v>
      </c>
      <c r="C40" s="6"/>
      <c r="D40" s="6"/>
      <c r="E40" s="6"/>
    </row>
    <row r="42" customFormat="false" ht="15" hidden="false" customHeight="false" outlineLevel="0" collapsed="false">
      <c r="A42" s="3" t="s">
        <v>830</v>
      </c>
      <c r="B42" s="4"/>
      <c r="C42" s="4"/>
      <c r="D42" s="4"/>
      <c r="E42" s="4"/>
    </row>
    <row r="43" customFormat="false" ht="15" hidden="false" customHeight="false" outlineLevel="0" collapsed="false">
      <c r="A43" s="5" t="s">
        <v>113</v>
      </c>
      <c r="B43" s="5" t="s">
        <v>750</v>
      </c>
      <c r="C43" s="5" t="s">
        <v>831</v>
      </c>
      <c r="D43" s="5" t="s">
        <v>349</v>
      </c>
      <c r="E43" s="5"/>
    </row>
    <row r="44" customFormat="false" ht="15" hidden="false" customHeight="false" outlineLevel="0" collapsed="false">
      <c r="A44" s="6" t="s">
        <v>832</v>
      </c>
      <c r="B44" s="6" t="s">
        <v>833</v>
      </c>
      <c r="C44" s="6" t="s">
        <v>834</v>
      </c>
      <c r="D44" s="6"/>
      <c r="E44" s="6"/>
    </row>
    <row r="45" customFormat="false" ht="15" hidden="false" customHeight="false" outlineLevel="0" collapsed="false">
      <c r="A45" s="6" t="s">
        <v>765</v>
      </c>
      <c r="B45" s="6" t="s">
        <v>835</v>
      </c>
      <c r="C45" s="6" t="s">
        <v>836</v>
      </c>
      <c r="D45" s="6"/>
      <c r="E45" s="6"/>
    </row>
    <row r="46" customFormat="false" ht="15" hidden="false" customHeight="false" outlineLevel="0" collapsed="false">
      <c r="A46" s="6" t="s">
        <v>157</v>
      </c>
      <c r="B46" s="6" t="s">
        <v>837</v>
      </c>
      <c r="C46" s="6" t="s">
        <v>838</v>
      </c>
      <c r="D46" s="6"/>
      <c r="E46" s="6"/>
    </row>
    <row r="47" customFormat="false" ht="23.85" hidden="false" customHeight="false" outlineLevel="0" collapsed="false">
      <c r="A47" s="6" t="s">
        <v>839</v>
      </c>
      <c r="B47" s="6" t="s">
        <v>840</v>
      </c>
      <c r="C47" s="6" t="s">
        <v>841</v>
      </c>
      <c r="D47" s="6" t="s">
        <v>842</v>
      </c>
      <c r="E47" s="6"/>
    </row>
    <row r="48" customFormat="false" ht="35.05" hidden="false" customHeight="false" outlineLevel="0" collapsed="false">
      <c r="A48" s="6" t="s">
        <v>790</v>
      </c>
      <c r="B48" s="6" t="s">
        <v>843</v>
      </c>
      <c r="C48" s="6" t="s">
        <v>841</v>
      </c>
      <c r="D48" s="6" t="s">
        <v>844</v>
      </c>
      <c r="E48" s="6"/>
    </row>
    <row r="49" customFormat="false" ht="15" hidden="false" customHeight="false" outlineLevel="0" collapsed="false">
      <c r="A49" s="6" t="s">
        <v>845</v>
      </c>
      <c r="B49" s="6" t="s">
        <v>846</v>
      </c>
      <c r="C49" s="6" t="s">
        <v>847</v>
      </c>
      <c r="D49" s="6"/>
      <c r="E49" s="6"/>
    </row>
    <row r="50" customFormat="false" ht="15" hidden="false" customHeight="false" outlineLevel="0" collapsed="false">
      <c r="A50" s="6" t="s">
        <v>176</v>
      </c>
      <c r="B50" s="6" t="s">
        <v>848</v>
      </c>
      <c r="C50" s="6" t="s">
        <v>849</v>
      </c>
      <c r="D50" s="6" t="s">
        <v>850</v>
      </c>
      <c r="E50" s="6"/>
    </row>
    <row r="51" customFormat="false" ht="15" hidden="false" customHeight="false" outlineLevel="0" collapsed="false">
      <c r="A51" s="10" t="s">
        <v>851</v>
      </c>
      <c r="B51" s="10" t="s">
        <v>852</v>
      </c>
      <c r="C51" s="10" t="s">
        <v>853</v>
      </c>
      <c r="D51" s="10" t="s">
        <v>854</v>
      </c>
      <c r="E51" s="6"/>
    </row>
    <row r="52" customFormat="false" ht="35.05" hidden="false" customHeight="false" outlineLevel="0" collapsed="false">
      <c r="A52" s="6" t="s">
        <v>855</v>
      </c>
      <c r="B52" s="6" t="s">
        <v>856</v>
      </c>
      <c r="C52" s="6" t="s">
        <v>857</v>
      </c>
      <c r="D52" s="6"/>
      <c r="E52" s="6"/>
    </row>
  </sheetData>
  <mergeCells count="8">
    <mergeCell ref="A2:E2"/>
    <mergeCell ref="B34:E34"/>
    <mergeCell ref="B35:E35"/>
    <mergeCell ref="B36:E36"/>
    <mergeCell ref="B37:E37"/>
    <mergeCell ref="B38:E38"/>
    <mergeCell ref="B39:E39"/>
    <mergeCell ref="B40:E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6"/>
    <col collapsed="false" customWidth="true" hidden="false" outlineLevel="0" max="3" min="3" style="0" width="70"/>
    <col collapsed="false" customWidth="true" hidden="false" outlineLevel="0" max="4" min="4" style="0" width="30"/>
  </cols>
  <sheetData>
    <row r="1" customFormat="false" ht="18.55" hidden="false" customHeight="false" outlineLevel="0" collapsed="false">
      <c r="A1" s="1" t="s">
        <v>858</v>
      </c>
    </row>
    <row r="2" customFormat="false" ht="30" hidden="false" customHeight="true" outlineLevel="0" collapsed="false">
      <c r="A2" s="2" t="s">
        <v>859</v>
      </c>
      <c r="B2" s="2"/>
      <c r="C2" s="2"/>
      <c r="D2" s="2"/>
    </row>
    <row r="4" customFormat="false" ht="15" hidden="false" customHeight="false" outlineLevel="0" collapsed="false">
      <c r="A4" s="5" t="s">
        <v>207</v>
      </c>
      <c r="B4" s="5" t="s">
        <v>394</v>
      </c>
      <c r="C4" s="5" t="s">
        <v>860</v>
      </c>
      <c r="D4" s="5" t="s">
        <v>637</v>
      </c>
    </row>
    <row r="5" customFormat="false" ht="46.25" hidden="false" customHeight="false" outlineLevel="0" collapsed="false">
      <c r="A5" s="6" t="s">
        <v>861</v>
      </c>
      <c r="B5" s="6" t="s">
        <v>862</v>
      </c>
      <c r="C5" s="6" t="s">
        <v>863</v>
      </c>
      <c r="D5" s="6" t="s">
        <v>864</v>
      </c>
    </row>
    <row r="6" customFormat="false" ht="46.25" hidden="false" customHeight="false" outlineLevel="0" collapsed="false">
      <c r="A6" s="6" t="s">
        <v>865</v>
      </c>
      <c r="B6" s="6" t="s">
        <v>866</v>
      </c>
      <c r="C6" s="6" t="s">
        <v>867</v>
      </c>
      <c r="D6" s="6" t="s">
        <v>868</v>
      </c>
    </row>
    <row r="7" customFormat="false" ht="23.85" hidden="false" customHeight="false" outlineLevel="0" collapsed="false">
      <c r="A7" s="6" t="s">
        <v>346</v>
      </c>
      <c r="B7" s="6" t="s">
        <v>869</v>
      </c>
      <c r="C7" s="6" t="s">
        <v>870</v>
      </c>
      <c r="D7" s="6" t="s">
        <v>871</v>
      </c>
    </row>
    <row r="8" customFormat="false" ht="23.85" hidden="false" customHeight="false" outlineLevel="0" collapsed="false">
      <c r="A8" s="6" t="s">
        <v>872</v>
      </c>
      <c r="B8" s="6" t="s">
        <v>873</v>
      </c>
      <c r="C8" s="6" t="s">
        <v>874</v>
      </c>
      <c r="D8" s="6" t="s">
        <v>875</v>
      </c>
    </row>
    <row r="9" customFormat="false" ht="23.85" hidden="false" customHeight="false" outlineLevel="0" collapsed="false">
      <c r="A9" s="6" t="s">
        <v>876</v>
      </c>
      <c r="B9" s="6" t="s">
        <v>877</v>
      </c>
      <c r="C9" s="6" t="s">
        <v>878</v>
      </c>
      <c r="D9" s="6" t="s">
        <v>879</v>
      </c>
    </row>
    <row r="10" customFormat="false" ht="23.85" hidden="false" customHeight="false" outlineLevel="0" collapsed="false">
      <c r="A10" s="6" t="s">
        <v>880</v>
      </c>
      <c r="B10" s="6" t="s">
        <v>881</v>
      </c>
      <c r="C10" s="6" t="s">
        <v>882</v>
      </c>
      <c r="D10" s="6" t="s">
        <v>883</v>
      </c>
    </row>
    <row r="11" customFormat="false" ht="23.85" hidden="false" customHeight="false" outlineLevel="0" collapsed="false">
      <c r="A11" s="6" t="s">
        <v>884</v>
      </c>
      <c r="B11" s="6" t="s">
        <v>885</v>
      </c>
      <c r="C11" s="6" t="s">
        <v>886</v>
      </c>
      <c r="D11" s="6" t="s">
        <v>879</v>
      </c>
    </row>
  </sheetData>
  <autoFilter ref="A4:D11"/>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60"/>
    <col collapsed="false" customWidth="true" hidden="false" outlineLevel="0" max="4" min="4" style="0" width="28"/>
    <col collapsed="false" customWidth="true" hidden="false" outlineLevel="0" max="5" min="5" style="0" width="10"/>
    <col collapsed="false" customWidth="true" hidden="false" outlineLevel="0" max="6" min="6" style="0" width="14"/>
  </cols>
  <sheetData>
    <row r="1" customFormat="false" ht="18.55" hidden="false" customHeight="false" outlineLevel="0" collapsed="false">
      <c r="A1" s="1" t="s">
        <v>887</v>
      </c>
    </row>
    <row r="2" customFormat="false" ht="30" hidden="false" customHeight="true" outlineLevel="0" collapsed="false">
      <c r="A2" s="2" t="s">
        <v>888</v>
      </c>
      <c r="B2" s="2"/>
      <c r="C2" s="2"/>
      <c r="D2" s="2"/>
      <c r="E2" s="2"/>
      <c r="F2" s="2"/>
    </row>
    <row r="4" customFormat="false" ht="26.85" hidden="false" customHeight="false" outlineLevel="0" collapsed="false">
      <c r="A4" s="5" t="s">
        <v>889</v>
      </c>
      <c r="B4" s="5" t="s">
        <v>890</v>
      </c>
      <c r="C4" s="5" t="s">
        <v>891</v>
      </c>
      <c r="D4" s="5" t="s">
        <v>892</v>
      </c>
      <c r="E4" s="5" t="s">
        <v>142</v>
      </c>
      <c r="F4" s="5" t="s">
        <v>348</v>
      </c>
    </row>
    <row r="5" customFormat="false" ht="15" hidden="false" customHeight="false" outlineLevel="0" collapsed="false">
      <c r="A5" s="6" t="s">
        <v>893</v>
      </c>
      <c r="B5" s="6" t="s">
        <v>894</v>
      </c>
      <c r="C5" s="6" t="s">
        <v>895</v>
      </c>
      <c r="D5" s="16" t="s">
        <v>896</v>
      </c>
      <c r="E5" s="6" t="s">
        <v>146</v>
      </c>
      <c r="F5" s="11" t="s">
        <v>897</v>
      </c>
    </row>
    <row r="6" customFormat="false" ht="15" hidden="false" customHeight="false" outlineLevel="0" collapsed="false">
      <c r="A6" s="6" t="s">
        <v>898</v>
      </c>
      <c r="B6" s="6" t="s">
        <v>899</v>
      </c>
      <c r="C6" s="6" t="s">
        <v>900</v>
      </c>
      <c r="D6" s="16" t="s">
        <v>901</v>
      </c>
      <c r="E6" s="6" t="s">
        <v>146</v>
      </c>
      <c r="F6" s="11" t="s">
        <v>897</v>
      </c>
    </row>
    <row r="7" customFormat="false" ht="23.85" hidden="false" customHeight="false" outlineLevel="0" collapsed="false">
      <c r="A7" s="6" t="s">
        <v>902</v>
      </c>
      <c r="B7" s="6" t="s">
        <v>42</v>
      </c>
      <c r="C7" s="6" t="s">
        <v>903</v>
      </c>
      <c r="D7" s="16" t="s">
        <v>904</v>
      </c>
      <c r="E7" s="6" t="s">
        <v>146</v>
      </c>
      <c r="F7" s="11" t="s">
        <v>897</v>
      </c>
    </row>
    <row r="8" customFormat="false" ht="23.85" hidden="false" customHeight="false" outlineLevel="0" collapsed="false">
      <c r="A8" s="6" t="s">
        <v>905</v>
      </c>
      <c r="B8" s="6" t="s">
        <v>906</v>
      </c>
      <c r="C8" s="6" t="s">
        <v>907</v>
      </c>
      <c r="D8" s="16" t="s">
        <v>908</v>
      </c>
      <c r="E8" s="6" t="s">
        <v>146</v>
      </c>
      <c r="F8" s="11" t="s">
        <v>897</v>
      </c>
    </row>
    <row r="9" customFormat="false" ht="15" hidden="false" customHeight="false" outlineLevel="0" collapsed="false">
      <c r="A9" s="6" t="s">
        <v>909</v>
      </c>
      <c r="B9" s="6" t="s">
        <v>910</v>
      </c>
      <c r="C9" s="6" t="s">
        <v>911</v>
      </c>
      <c r="D9" s="16" t="s">
        <v>912</v>
      </c>
      <c r="E9" s="6" t="s">
        <v>146</v>
      </c>
      <c r="F9" s="11" t="s">
        <v>897</v>
      </c>
    </row>
    <row r="10" customFormat="false" ht="23.85" hidden="false" customHeight="false" outlineLevel="0" collapsed="false">
      <c r="A10" s="6" t="s">
        <v>913</v>
      </c>
      <c r="B10" s="6" t="s">
        <v>914</v>
      </c>
      <c r="C10" s="6" t="s">
        <v>915</v>
      </c>
      <c r="D10" s="16" t="s">
        <v>916</v>
      </c>
      <c r="E10" s="6" t="s">
        <v>146</v>
      </c>
      <c r="F10" s="11" t="s">
        <v>897</v>
      </c>
    </row>
    <row r="11" customFormat="false" ht="15" hidden="false" customHeight="false" outlineLevel="0" collapsed="false">
      <c r="A11" s="6" t="s">
        <v>917</v>
      </c>
      <c r="B11" s="6" t="s">
        <v>918</v>
      </c>
      <c r="C11" s="6" t="s">
        <v>919</v>
      </c>
      <c r="D11" s="16" t="s">
        <v>920</v>
      </c>
      <c r="E11" s="6" t="s">
        <v>146</v>
      </c>
      <c r="F11" s="11" t="s">
        <v>897</v>
      </c>
    </row>
    <row r="12" customFormat="false" ht="15" hidden="false" customHeight="false" outlineLevel="0" collapsed="false">
      <c r="A12" s="6" t="s">
        <v>921</v>
      </c>
      <c r="B12" s="6" t="s">
        <v>922</v>
      </c>
      <c r="C12" s="6" t="s">
        <v>923</v>
      </c>
      <c r="D12" s="16" t="s">
        <v>924</v>
      </c>
      <c r="E12" s="6" t="s">
        <v>146</v>
      </c>
      <c r="F12" s="11" t="s">
        <v>897</v>
      </c>
    </row>
    <row r="13" customFormat="false" ht="15" hidden="false" customHeight="false" outlineLevel="0" collapsed="false">
      <c r="A13" s="6" t="s">
        <v>925</v>
      </c>
      <c r="B13" s="6" t="s">
        <v>926</v>
      </c>
      <c r="C13" s="6" t="s">
        <v>927</v>
      </c>
      <c r="D13" s="16" t="s">
        <v>928</v>
      </c>
      <c r="E13" s="6" t="s">
        <v>166</v>
      </c>
      <c r="F13" s="11" t="s">
        <v>897</v>
      </c>
    </row>
    <row r="14" customFormat="false" ht="23.85" hidden="false" customHeight="false" outlineLevel="0" collapsed="false">
      <c r="A14" s="6" t="s">
        <v>929</v>
      </c>
      <c r="B14" s="6" t="s">
        <v>930</v>
      </c>
      <c r="C14" s="6" t="s">
        <v>931</v>
      </c>
      <c r="D14" s="16" t="s">
        <v>932</v>
      </c>
      <c r="E14" s="6" t="s">
        <v>166</v>
      </c>
      <c r="F14" s="11" t="s">
        <v>897</v>
      </c>
    </row>
    <row r="15" customFormat="false" ht="15" hidden="false" customHeight="false" outlineLevel="0" collapsed="false">
      <c r="A15" s="6" t="s">
        <v>933</v>
      </c>
      <c r="B15" s="6" t="s">
        <v>593</v>
      </c>
      <c r="C15" s="6" t="s">
        <v>934</v>
      </c>
      <c r="D15" s="16" t="s">
        <v>935</v>
      </c>
      <c r="E15" s="6" t="s">
        <v>166</v>
      </c>
      <c r="F15" s="11" t="s">
        <v>897</v>
      </c>
    </row>
    <row r="16" customFormat="false" ht="15" hidden="false" customHeight="false" outlineLevel="0" collapsed="false">
      <c r="A16" s="6" t="s">
        <v>936</v>
      </c>
      <c r="B16" s="6" t="s">
        <v>937</v>
      </c>
      <c r="C16" s="6" t="s">
        <v>938</v>
      </c>
      <c r="D16" s="16" t="s">
        <v>939</v>
      </c>
      <c r="E16" s="6" t="s">
        <v>166</v>
      </c>
      <c r="F16" s="11" t="s">
        <v>897</v>
      </c>
    </row>
    <row r="17" customFormat="false" ht="23.85" hidden="false" customHeight="false" outlineLevel="0" collapsed="false">
      <c r="A17" s="6" t="s">
        <v>940</v>
      </c>
      <c r="B17" s="6" t="s">
        <v>941</v>
      </c>
      <c r="C17" s="6" t="s">
        <v>942</v>
      </c>
      <c r="D17" s="16" t="s">
        <v>943</v>
      </c>
      <c r="E17" s="6" t="s">
        <v>188</v>
      </c>
      <c r="F17" s="11" t="s">
        <v>897</v>
      </c>
    </row>
    <row r="18" customFormat="false" ht="15" hidden="false" customHeight="false" outlineLevel="0" collapsed="false">
      <c r="A18" s="6" t="s">
        <v>944</v>
      </c>
      <c r="B18" s="6" t="s">
        <v>945</v>
      </c>
      <c r="C18" s="6" t="s">
        <v>946</v>
      </c>
      <c r="D18" s="16" t="s">
        <v>947</v>
      </c>
      <c r="E18" s="6" t="s">
        <v>188</v>
      </c>
      <c r="F18" s="11" t="s">
        <v>897</v>
      </c>
    </row>
    <row r="19" customFormat="false" ht="22.35" hidden="false" customHeight="false" outlineLevel="0" collapsed="false">
      <c r="A19" s="6" t="s">
        <v>948</v>
      </c>
      <c r="B19" s="6" t="s">
        <v>949</v>
      </c>
      <c r="C19" s="6" t="s">
        <v>950</v>
      </c>
      <c r="D19" s="16" t="s">
        <v>951</v>
      </c>
      <c r="E19" s="6" t="s">
        <v>188</v>
      </c>
      <c r="F19" s="11" t="s">
        <v>897</v>
      </c>
    </row>
    <row r="20" customFormat="false" ht="23.85" hidden="false" customHeight="false" outlineLevel="0" collapsed="false">
      <c r="A20" s="6" t="s">
        <v>952</v>
      </c>
      <c r="B20" s="6" t="s">
        <v>953</v>
      </c>
      <c r="C20" s="6" t="s">
        <v>954</v>
      </c>
      <c r="D20" s="16" t="s">
        <v>955</v>
      </c>
      <c r="E20" s="6" t="s">
        <v>188</v>
      </c>
      <c r="F20" s="11" t="s">
        <v>897</v>
      </c>
    </row>
    <row r="21" customFormat="false" ht="23.85" hidden="false" customHeight="false" outlineLevel="0" collapsed="false">
      <c r="A21" s="6" t="s">
        <v>956</v>
      </c>
      <c r="B21" s="6" t="s">
        <v>957</v>
      </c>
      <c r="C21" s="6" t="s">
        <v>958</v>
      </c>
      <c r="D21" s="16" t="s">
        <v>959</v>
      </c>
      <c r="E21" s="6" t="s">
        <v>169</v>
      </c>
      <c r="F21" s="11" t="s">
        <v>897</v>
      </c>
    </row>
    <row r="22" customFormat="false" ht="15" hidden="false" customHeight="false" outlineLevel="0" collapsed="false">
      <c r="A22" s="6" t="s">
        <v>960</v>
      </c>
      <c r="B22" s="6" t="s">
        <v>961</v>
      </c>
      <c r="C22" s="6" t="s">
        <v>962</v>
      </c>
      <c r="D22" s="16" t="s">
        <v>963</v>
      </c>
      <c r="E22" s="6" t="s">
        <v>169</v>
      </c>
      <c r="F22" s="11" t="s">
        <v>897</v>
      </c>
    </row>
    <row r="23" customFormat="false" ht="15" hidden="false" customHeight="false" outlineLevel="0" collapsed="false">
      <c r="A23" s="6" t="s">
        <v>964</v>
      </c>
      <c r="B23" s="6" t="s">
        <v>965</v>
      </c>
      <c r="C23" s="6" t="s">
        <v>966</v>
      </c>
      <c r="D23" s="16" t="s">
        <v>967</v>
      </c>
      <c r="E23" s="6" t="s">
        <v>192</v>
      </c>
      <c r="F23" s="11" t="s">
        <v>897</v>
      </c>
    </row>
    <row r="24" customFormat="false" ht="15" hidden="false" customHeight="false" outlineLevel="0" collapsed="false">
      <c r="A24" s="6" t="s">
        <v>968</v>
      </c>
      <c r="B24" s="6" t="s">
        <v>969</v>
      </c>
      <c r="C24" s="6" t="s">
        <v>970</v>
      </c>
      <c r="D24" s="16" t="s">
        <v>971</v>
      </c>
      <c r="E24" s="6" t="s">
        <v>192</v>
      </c>
      <c r="F24" s="11" t="s">
        <v>897</v>
      </c>
    </row>
    <row r="25" customFormat="false" ht="15" hidden="false" customHeight="false" outlineLevel="0" collapsed="false">
      <c r="A25" s="6" t="s">
        <v>972</v>
      </c>
      <c r="B25" s="6" t="s">
        <v>973</v>
      </c>
      <c r="C25" s="6" t="s">
        <v>974</v>
      </c>
      <c r="D25" s="16" t="s">
        <v>975</v>
      </c>
      <c r="E25" s="6" t="s">
        <v>192</v>
      </c>
      <c r="F25" s="11" t="s">
        <v>897</v>
      </c>
    </row>
    <row r="26" customFormat="false" ht="23.85" hidden="false" customHeight="false" outlineLevel="0" collapsed="false">
      <c r="A26" s="6" t="s">
        <v>976</v>
      </c>
      <c r="B26" s="6" t="s">
        <v>977</v>
      </c>
      <c r="C26" s="6" t="s">
        <v>978</v>
      </c>
      <c r="D26" s="16" t="s">
        <v>979</v>
      </c>
      <c r="E26" s="6" t="s">
        <v>192</v>
      </c>
      <c r="F26" s="11" t="s">
        <v>897</v>
      </c>
    </row>
    <row r="27" customFormat="false" ht="23.85" hidden="false" customHeight="false" outlineLevel="0" collapsed="false">
      <c r="A27" s="6" t="s">
        <v>980</v>
      </c>
      <c r="B27" s="6" t="s">
        <v>981</v>
      </c>
      <c r="C27" s="6" t="s">
        <v>982</v>
      </c>
      <c r="D27" s="16" t="s">
        <v>983</v>
      </c>
      <c r="E27" s="6" t="s">
        <v>192</v>
      </c>
      <c r="F27" s="11" t="s">
        <v>897</v>
      </c>
    </row>
    <row r="28" customFormat="false" ht="15" hidden="false" customHeight="false" outlineLevel="0" collapsed="false">
      <c r="A28" s="6" t="s">
        <v>984</v>
      </c>
      <c r="B28" s="6" t="s">
        <v>985</v>
      </c>
      <c r="C28" s="6" t="s">
        <v>986</v>
      </c>
      <c r="D28" s="16" t="s">
        <v>987</v>
      </c>
      <c r="E28" s="6" t="s">
        <v>192</v>
      </c>
      <c r="F28" s="11" t="s">
        <v>897</v>
      </c>
    </row>
    <row r="29" customFormat="false" ht="15" hidden="false" customHeight="false" outlineLevel="0" collapsed="false">
      <c r="A29" s="6" t="s">
        <v>988</v>
      </c>
      <c r="B29" s="6" t="s">
        <v>989</v>
      </c>
      <c r="C29" s="6" t="s">
        <v>990</v>
      </c>
      <c r="D29" s="16" t="s">
        <v>991</v>
      </c>
      <c r="E29" s="6" t="s">
        <v>200</v>
      </c>
      <c r="F29" s="11" t="s">
        <v>897</v>
      </c>
    </row>
    <row r="31" customFormat="false" ht="15" hidden="false" customHeight="false" outlineLevel="0" collapsed="false">
      <c r="A31" s="12" t="s">
        <v>992</v>
      </c>
      <c r="B31" s="13" t="n">
        <f aca="false">COUNTIF(F5:F29,"Đã viết")</f>
        <v>0</v>
      </c>
    </row>
    <row r="32" customFormat="false" ht="15" hidden="false" customHeight="false" outlineLevel="0" collapsed="false">
      <c r="A32" s="12" t="s">
        <v>390</v>
      </c>
      <c r="B32" s="13" t="n">
        <f aca="false">COUNTA(F5:F29)</f>
        <v>25</v>
      </c>
    </row>
    <row r="33" customFormat="false" ht="15" hidden="false" customHeight="false" outlineLevel="0" collapsed="false">
      <c r="A33" s="12" t="s">
        <v>13</v>
      </c>
      <c r="B33" s="14" t="n">
        <f aca="false">IFERROR(B31/B32,0)</f>
        <v>0</v>
      </c>
    </row>
  </sheetData>
  <autoFilter ref="A4:F29"/>
  <mergeCells count="1">
    <mergeCell ref="A2:F2"/>
  </mergeCells>
  <conditionalFormatting sqref="F5:F29">
    <cfRule type="cellIs" priority="2" operator="equal" aboveAverage="0" equalAverage="0" bottom="0" percent="0" rank="0" text="" dxfId="6">
      <formula>"Đã viết"</formula>
    </cfRule>
    <cfRule type="cellIs" priority="3" operator="equal" aboveAverage="0" equalAverage="0" bottom="0" percent="0" rank="0" text="" dxfId="7">
      <formula>"Đang viết"</formula>
    </cfRule>
  </conditionalFormatting>
  <dataValidations count="1">
    <dataValidation allowBlank="true" errorStyle="stop" operator="between" showDropDown="false" showErrorMessage="false" showInputMessage="false" sqref="F5:F29" type="list">
      <formula1>"Chưa viết,Đang viết,Đã viết,Đã thay thế"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72"/>
  </cols>
  <sheetData>
    <row r="1" customFormat="false" ht="18.55" hidden="false" customHeight="false" outlineLevel="0" collapsed="false">
      <c r="A1" s="1" t="s">
        <v>993</v>
      </c>
    </row>
    <row r="2" customFormat="false" ht="30" hidden="false" customHeight="true" outlineLevel="0" collapsed="false">
      <c r="A2" s="2" t="s">
        <v>994</v>
      </c>
      <c r="B2" s="2"/>
      <c r="C2" s="2"/>
    </row>
    <row r="4" customFormat="false" ht="15" hidden="false" customHeight="false" outlineLevel="0" collapsed="false">
      <c r="A4" s="5" t="s">
        <v>127</v>
      </c>
      <c r="B4" s="5" t="s">
        <v>50</v>
      </c>
      <c r="C4" s="5" t="s">
        <v>860</v>
      </c>
    </row>
    <row r="5" customFormat="false" ht="23.85" hidden="false" customHeight="false" outlineLevel="0" collapsed="false">
      <c r="A5" s="6" t="s">
        <v>995</v>
      </c>
      <c r="B5" s="6" t="s">
        <v>996</v>
      </c>
      <c r="C5" s="6" t="s">
        <v>997</v>
      </c>
    </row>
    <row r="6" customFormat="false" ht="23.85" hidden="false" customHeight="false" outlineLevel="0" collapsed="false">
      <c r="A6" s="6" t="s">
        <v>995</v>
      </c>
      <c r="B6" s="6" t="s">
        <v>998</v>
      </c>
      <c r="C6" s="6" t="s">
        <v>999</v>
      </c>
    </row>
    <row r="7" customFormat="false" ht="15" hidden="false" customHeight="false" outlineLevel="0" collapsed="false">
      <c r="A7" s="6" t="s">
        <v>995</v>
      </c>
      <c r="B7" s="6" t="s">
        <v>1000</v>
      </c>
      <c r="C7" s="6" t="s">
        <v>1001</v>
      </c>
    </row>
    <row r="8" customFormat="false" ht="23.85" hidden="false" customHeight="false" outlineLevel="0" collapsed="false">
      <c r="A8" s="6" t="s">
        <v>995</v>
      </c>
      <c r="B8" s="6" t="s">
        <v>1002</v>
      </c>
      <c r="C8" s="6" t="s">
        <v>1003</v>
      </c>
    </row>
    <row r="9" customFormat="false" ht="15" hidden="false" customHeight="false" outlineLevel="0" collapsed="false">
      <c r="A9" s="6" t="s">
        <v>995</v>
      </c>
      <c r="B9" s="6" t="s">
        <v>1004</v>
      </c>
      <c r="C9" s="6" t="s">
        <v>1005</v>
      </c>
    </row>
    <row r="10" customFormat="false" ht="23.85" hidden="false" customHeight="false" outlineLevel="0" collapsed="false">
      <c r="A10" s="6" t="s">
        <v>995</v>
      </c>
      <c r="B10" s="6" t="s">
        <v>1006</v>
      </c>
      <c r="C10" s="6" t="s">
        <v>1007</v>
      </c>
    </row>
    <row r="11" customFormat="false" ht="15" hidden="false" customHeight="false" outlineLevel="0" collapsed="false">
      <c r="A11" s="6" t="s">
        <v>995</v>
      </c>
      <c r="B11" s="6" t="s">
        <v>1008</v>
      </c>
      <c r="C11" s="6" t="s">
        <v>1009</v>
      </c>
    </row>
    <row r="12" customFormat="false" ht="15" hidden="false" customHeight="false" outlineLevel="0" collapsed="false">
      <c r="A12" s="6" t="s">
        <v>995</v>
      </c>
      <c r="B12" s="6" t="s">
        <v>1010</v>
      </c>
      <c r="C12" s="6" t="s">
        <v>1011</v>
      </c>
    </row>
    <row r="13" customFormat="false" ht="15" hidden="false" customHeight="false" outlineLevel="0" collapsed="false">
      <c r="A13" s="6" t="s">
        <v>1012</v>
      </c>
      <c r="B13" s="6" t="s">
        <v>1013</v>
      </c>
      <c r="C13" s="6" t="s">
        <v>1014</v>
      </c>
    </row>
    <row r="14" customFormat="false" ht="15" hidden="false" customHeight="false" outlineLevel="0" collapsed="false">
      <c r="A14" s="6" t="s">
        <v>1012</v>
      </c>
      <c r="B14" s="6" t="s">
        <v>1015</v>
      </c>
      <c r="C14" s="6" t="s">
        <v>1016</v>
      </c>
    </row>
    <row r="15" customFormat="false" ht="15" hidden="false" customHeight="false" outlineLevel="0" collapsed="false">
      <c r="A15" s="6" t="s">
        <v>1012</v>
      </c>
      <c r="B15" s="6" t="s">
        <v>1017</v>
      </c>
      <c r="C15" s="6" t="s">
        <v>1018</v>
      </c>
    </row>
    <row r="16" customFormat="false" ht="15" hidden="false" customHeight="false" outlineLevel="0" collapsed="false">
      <c r="A16" s="6" t="s">
        <v>1019</v>
      </c>
      <c r="B16" s="6" t="s">
        <v>1020</v>
      </c>
      <c r="C16" s="6" t="s">
        <v>1021</v>
      </c>
    </row>
    <row r="17" customFormat="false" ht="15" hidden="false" customHeight="false" outlineLevel="0" collapsed="false">
      <c r="A17" s="6" t="s">
        <v>1019</v>
      </c>
      <c r="B17" s="6" t="s">
        <v>1022</v>
      </c>
      <c r="C17" s="6" t="s">
        <v>1023</v>
      </c>
    </row>
    <row r="18" customFormat="false" ht="15" hidden="false" customHeight="false" outlineLevel="0" collapsed="false">
      <c r="A18" s="6" t="s">
        <v>1019</v>
      </c>
      <c r="B18" s="6" t="s">
        <v>1024</v>
      </c>
      <c r="C18" s="6" t="s">
        <v>1025</v>
      </c>
    </row>
    <row r="19" customFormat="false" ht="15" hidden="false" customHeight="false" outlineLevel="0" collapsed="false">
      <c r="A19" s="6" t="s">
        <v>1026</v>
      </c>
      <c r="B19" s="6" t="s">
        <v>1027</v>
      </c>
      <c r="C19" s="6" t="s">
        <v>1028</v>
      </c>
    </row>
    <row r="20" customFormat="false" ht="15" hidden="false" customHeight="false" outlineLevel="0" collapsed="false">
      <c r="A20" s="6" t="s">
        <v>1026</v>
      </c>
      <c r="B20" s="6" t="s">
        <v>1029</v>
      </c>
      <c r="C20" s="6" t="s">
        <v>1030</v>
      </c>
    </row>
    <row r="21" customFormat="false" ht="15" hidden="false" customHeight="false" outlineLevel="0" collapsed="false">
      <c r="A21" s="6" t="s">
        <v>1026</v>
      </c>
      <c r="B21" s="6" t="s">
        <v>881</v>
      </c>
      <c r="C21" s="6" t="s">
        <v>1031</v>
      </c>
    </row>
    <row r="22" customFormat="false" ht="23.85" hidden="false" customHeight="false" outlineLevel="0" collapsed="false">
      <c r="A22" s="6" t="s">
        <v>1026</v>
      </c>
      <c r="B22" s="6" t="s">
        <v>1032</v>
      </c>
      <c r="C22" s="6" t="s">
        <v>1033</v>
      </c>
    </row>
    <row r="23" customFormat="false" ht="15" hidden="false" customHeight="false" outlineLevel="0" collapsed="false">
      <c r="A23" s="6" t="s">
        <v>1026</v>
      </c>
      <c r="B23" s="6" t="s">
        <v>1034</v>
      </c>
      <c r="C23" s="6" t="s">
        <v>1035</v>
      </c>
    </row>
    <row r="24" customFormat="false" ht="35.05" hidden="false" customHeight="false" outlineLevel="0" collapsed="false">
      <c r="A24" s="6" t="s">
        <v>1036</v>
      </c>
      <c r="B24" s="6" t="s">
        <v>1037</v>
      </c>
      <c r="C24" s="6" t="s">
        <v>1038</v>
      </c>
    </row>
    <row r="25" customFormat="false" ht="23.85" hidden="false" customHeight="false" outlineLevel="0" collapsed="false">
      <c r="A25" s="6" t="s">
        <v>1036</v>
      </c>
      <c r="B25" s="6" t="s">
        <v>1039</v>
      </c>
      <c r="C25" s="6" t="s">
        <v>1040</v>
      </c>
    </row>
    <row r="26" customFormat="false" ht="23.85" hidden="false" customHeight="false" outlineLevel="0" collapsed="false">
      <c r="A26" s="6" t="s">
        <v>1036</v>
      </c>
      <c r="B26" s="6" t="s">
        <v>1041</v>
      </c>
      <c r="C26" s="6" t="s">
        <v>1042</v>
      </c>
    </row>
    <row r="27" customFormat="false" ht="23.85" hidden="false" customHeight="false" outlineLevel="0" collapsed="false">
      <c r="A27" s="6" t="s">
        <v>1036</v>
      </c>
      <c r="B27" s="6" t="s">
        <v>1043</v>
      </c>
      <c r="C27" s="6" t="s">
        <v>1044</v>
      </c>
    </row>
    <row r="28" customFormat="false" ht="23.85" hidden="false" customHeight="false" outlineLevel="0" collapsed="false">
      <c r="A28" s="6" t="s">
        <v>1036</v>
      </c>
      <c r="B28" s="6" t="s">
        <v>1045</v>
      </c>
      <c r="C28" s="6" t="s">
        <v>1046</v>
      </c>
    </row>
    <row r="29" customFormat="false" ht="23.85" hidden="false" customHeight="false" outlineLevel="0" collapsed="false">
      <c r="A29" s="6" t="s">
        <v>1036</v>
      </c>
      <c r="B29" s="6" t="s">
        <v>1047</v>
      </c>
      <c r="C29" s="6" t="s">
        <v>1048</v>
      </c>
    </row>
  </sheetData>
  <autoFilter ref="A4:C29"/>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46"/>
    <col collapsed="false" customWidth="true" hidden="false" outlineLevel="0" max="4" min="4" style="0" width="14"/>
    <col collapsed="false" customWidth="true" hidden="false" outlineLevel="0" max="5" min="5" style="0" width="20"/>
  </cols>
  <sheetData>
    <row r="1" customFormat="false" ht="18.55" hidden="false" customHeight="false" outlineLevel="0" collapsed="false">
      <c r="A1" s="1" t="s">
        <v>1049</v>
      </c>
    </row>
    <row r="2" customFormat="false" ht="30" hidden="false" customHeight="true" outlineLevel="0" collapsed="false">
      <c r="A2" s="2" t="s">
        <v>1050</v>
      </c>
      <c r="B2" s="2"/>
      <c r="C2" s="2"/>
      <c r="D2" s="2"/>
      <c r="E2" s="2"/>
    </row>
    <row r="4" customFormat="false" ht="15" hidden="false" customHeight="false" outlineLevel="0" collapsed="false">
      <c r="A4" s="5" t="s">
        <v>1051</v>
      </c>
      <c r="B4" s="5" t="s">
        <v>57</v>
      </c>
      <c r="C4" s="5" t="s">
        <v>1052</v>
      </c>
      <c r="D4" s="5" t="s">
        <v>1053</v>
      </c>
      <c r="E4" s="5" t="s">
        <v>1054</v>
      </c>
    </row>
    <row r="5" customFormat="false" ht="15" hidden="false" customHeight="false" outlineLevel="0" collapsed="false">
      <c r="A5" s="11" t="s">
        <v>1055</v>
      </c>
      <c r="B5" s="11" t="s">
        <v>1056</v>
      </c>
      <c r="C5" s="11" t="s">
        <v>1057</v>
      </c>
      <c r="D5" s="11" t="s">
        <v>1058</v>
      </c>
      <c r="E5" s="11"/>
    </row>
    <row r="6" customFormat="false" ht="15" hidden="false" customHeight="false" outlineLevel="0" collapsed="false">
      <c r="A6" s="11" t="s">
        <v>1059</v>
      </c>
      <c r="B6" s="11" t="s">
        <v>1060</v>
      </c>
      <c r="C6" s="11" t="s">
        <v>1061</v>
      </c>
      <c r="D6" s="11" t="s">
        <v>1062</v>
      </c>
      <c r="E6" s="11" t="s">
        <v>1063</v>
      </c>
    </row>
    <row r="7" customFormat="false" ht="15" hidden="false" customHeight="false" outlineLevel="0" collapsed="false">
      <c r="A7" s="11"/>
      <c r="B7" s="11"/>
      <c r="C7" s="11"/>
      <c r="D7" s="11"/>
      <c r="E7" s="11"/>
    </row>
    <row r="8" customFormat="false" ht="15" hidden="false" customHeight="false" outlineLevel="0" collapsed="false">
      <c r="A8" s="11"/>
      <c r="B8" s="11"/>
      <c r="C8" s="11"/>
      <c r="D8" s="11"/>
      <c r="E8" s="11"/>
    </row>
    <row r="9" customFormat="false" ht="15" hidden="false" customHeight="false" outlineLevel="0" collapsed="false">
      <c r="A9" s="11"/>
      <c r="B9" s="11"/>
      <c r="C9" s="11"/>
      <c r="D9" s="11"/>
      <c r="E9" s="11"/>
    </row>
    <row r="10" customFormat="false" ht="15" hidden="false" customHeight="false" outlineLevel="0" collapsed="false">
      <c r="A10" s="11"/>
      <c r="B10" s="11"/>
      <c r="C10" s="11"/>
      <c r="D10" s="11"/>
      <c r="E10" s="11"/>
    </row>
    <row r="11" customFormat="false" ht="15" hidden="false" customHeight="false" outlineLevel="0" collapsed="false">
      <c r="A11" s="11"/>
      <c r="B11" s="11"/>
      <c r="C11" s="11"/>
      <c r="D11" s="11"/>
      <c r="E11" s="11"/>
    </row>
    <row r="12" customFormat="false" ht="15" hidden="false" customHeight="false" outlineLevel="0" collapsed="false">
      <c r="A12" s="11"/>
      <c r="B12" s="11"/>
      <c r="C12" s="11"/>
      <c r="D12" s="11"/>
      <c r="E12" s="11"/>
    </row>
    <row r="13" customFormat="false" ht="15" hidden="false" customHeight="false" outlineLevel="0" collapsed="false">
      <c r="A13" s="11"/>
      <c r="B13" s="11"/>
      <c r="C13" s="11"/>
      <c r="D13" s="11"/>
      <c r="E13" s="11"/>
    </row>
    <row r="14" customFormat="false" ht="15" hidden="false" customHeight="false" outlineLevel="0" collapsed="false">
      <c r="A14" s="11"/>
      <c r="B14" s="11"/>
      <c r="C14" s="11"/>
      <c r="D14" s="11"/>
      <c r="E14" s="11"/>
    </row>
    <row r="15" customFormat="false" ht="15" hidden="false" customHeight="false" outlineLevel="0" collapsed="false">
      <c r="A15" s="11"/>
      <c r="B15" s="11"/>
      <c r="C15" s="11"/>
      <c r="D15" s="11"/>
      <c r="E15" s="11"/>
    </row>
    <row r="16" customFormat="false" ht="15" hidden="false" customHeight="false" outlineLevel="0" collapsed="false">
      <c r="A16" s="11"/>
      <c r="B16" s="11"/>
      <c r="C16" s="11"/>
      <c r="D16" s="11"/>
      <c r="E16" s="11"/>
    </row>
    <row r="17" customFormat="false" ht="15" hidden="false" customHeight="false" outlineLevel="0" collapsed="false">
      <c r="A17" s="11"/>
      <c r="B17" s="11"/>
      <c r="C17" s="11"/>
      <c r="D17" s="11"/>
      <c r="E17" s="11"/>
    </row>
    <row r="18" customFormat="false" ht="15" hidden="false" customHeight="false" outlineLevel="0" collapsed="false">
      <c r="A18" s="11"/>
      <c r="B18" s="11"/>
      <c r="C18" s="11"/>
      <c r="D18" s="11"/>
      <c r="E18" s="11"/>
    </row>
    <row r="19" customFormat="false" ht="15" hidden="false" customHeight="false" outlineLevel="0" collapsed="false">
      <c r="A19" s="11"/>
      <c r="B19" s="11"/>
      <c r="C19" s="11"/>
      <c r="D19" s="11"/>
      <c r="E19" s="11"/>
    </row>
    <row r="20" customFormat="false" ht="15" hidden="false" customHeight="false" outlineLevel="0" collapsed="false">
      <c r="A20" s="11"/>
      <c r="B20" s="11"/>
      <c r="C20" s="11"/>
      <c r="D20" s="11"/>
      <c r="E20" s="11"/>
    </row>
    <row r="21" customFormat="false" ht="15" hidden="false" customHeight="false" outlineLevel="0" collapsed="false">
      <c r="A21" s="11"/>
      <c r="B21" s="11"/>
      <c r="C21" s="11"/>
      <c r="D21" s="11"/>
      <c r="E21" s="11"/>
    </row>
    <row r="22" customFormat="false" ht="15" hidden="false" customHeight="false" outlineLevel="0" collapsed="false">
      <c r="A22" s="11"/>
      <c r="B22" s="11"/>
      <c r="C22" s="11"/>
      <c r="D22" s="11"/>
      <c r="E22" s="11"/>
    </row>
    <row r="23" customFormat="false" ht="15" hidden="false" customHeight="false" outlineLevel="0" collapsed="false">
      <c r="A23" s="11"/>
      <c r="B23" s="11"/>
      <c r="C23" s="11"/>
      <c r="D23" s="11"/>
      <c r="E23" s="11"/>
    </row>
    <row r="24" customFormat="false" ht="15" hidden="false" customHeight="false" outlineLevel="0" collapsed="false">
      <c r="A24" s="11"/>
      <c r="B24" s="11"/>
      <c r="C24" s="11"/>
      <c r="D24" s="11"/>
      <c r="E24" s="11"/>
    </row>
    <row r="25" customFormat="false" ht="15" hidden="false" customHeight="false" outlineLevel="0" collapsed="false">
      <c r="A25" s="11"/>
      <c r="B25" s="11"/>
      <c r="C25" s="11"/>
      <c r="D25" s="11"/>
      <c r="E25" s="11"/>
    </row>
    <row r="26" customFormat="false" ht="15" hidden="false" customHeight="false" outlineLevel="0" collapsed="false">
      <c r="A26" s="11"/>
      <c r="B26" s="11"/>
      <c r="C26" s="11"/>
      <c r="D26" s="11"/>
      <c r="E26" s="11"/>
    </row>
    <row r="27" customFormat="false" ht="15" hidden="false" customHeight="false" outlineLevel="0" collapsed="false">
      <c r="A27" s="11"/>
      <c r="B27" s="11"/>
      <c r="C27" s="11"/>
      <c r="D27" s="11"/>
      <c r="E27" s="11"/>
    </row>
    <row r="28" customFormat="false" ht="15" hidden="false" customHeight="false" outlineLevel="0" collapsed="false">
      <c r="A28" s="11"/>
      <c r="B28" s="11"/>
      <c r="C28" s="11"/>
      <c r="D28" s="11"/>
      <c r="E28" s="11"/>
    </row>
    <row r="29" customFormat="false" ht="15" hidden="false" customHeight="false" outlineLevel="0" collapsed="false">
      <c r="A29" s="11"/>
      <c r="B29" s="11"/>
      <c r="C29" s="11"/>
      <c r="D29" s="11"/>
      <c r="E29" s="11"/>
    </row>
    <row r="30" customFormat="false" ht="15" hidden="false" customHeight="false" outlineLevel="0" collapsed="false">
      <c r="A30" s="11"/>
      <c r="B30" s="11"/>
      <c r="C30" s="11"/>
      <c r="D30" s="11"/>
      <c r="E30" s="11"/>
    </row>
    <row r="31" customFormat="false" ht="15" hidden="false" customHeight="false" outlineLevel="0" collapsed="false">
      <c r="A31" s="11"/>
      <c r="B31" s="11"/>
      <c r="C31" s="11"/>
      <c r="D31" s="11"/>
      <c r="E31" s="11"/>
    </row>
    <row r="32" customFormat="false" ht="15" hidden="false" customHeight="false" outlineLevel="0" collapsed="false">
      <c r="A32" s="11"/>
      <c r="B32" s="11"/>
      <c r="C32" s="11"/>
      <c r="D32" s="11"/>
      <c r="E32" s="11"/>
    </row>
    <row r="33" customFormat="false" ht="15" hidden="false" customHeight="false" outlineLevel="0" collapsed="false">
      <c r="A33" s="11"/>
      <c r="B33" s="11"/>
      <c r="C33" s="11"/>
      <c r="D33" s="11"/>
      <c r="E33" s="11"/>
    </row>
    <row r="34" customFormat="false" ht="15" hidden="false" customHeight="false" outlineLevel="0" collapsed="false">
      <c r="A34" s="11"/>
      <c r="B34" s="11"/>
      <c r="C34" s="11"/>
      <c r="D34" s="11"/>
      <c r="E34" s="11"/>
    </row>
    <row r="35" customFormat="false" ht="15" hidden="false" customHeight="false" outlineLevel="0" collapsed="false">
      <c r="A35" s="11"/>
      <c r="B35" s="11"/>
      <c r="C35" s="11"/>
      <c r="D35" s="11"/>
      <c r="E35" s="11"/>
    </row>
    <row r="36" customFormat="false" ht="15" hidden="false" customHeight="false" outlineLevel="0" collapsed="false">
      <c r="A36" s="11"/>
      <c r="B36" s="11"/>
      <c r="C36" s="11"/>
      <c r="D36" s="11"/>
      <c r="E36" s="11"/>
    </row>
  </sheetData>
  <autoFilter ref="A4:E36"/>
  <mergeCells count="1">
    <mergeCell ref="A2:E2"/>
  </mergeCells>
  <dataValidations count="1">
    <dataValidation allowBlank="true" errorStyle="stop" operator="between" showDropDown="false" showErrorMessage="false" showInputMessage="false" sqref="D5:D36" type="list">
      <formula1>"Cao,Trung bình,Thấp"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2026-10-11T17:26:20Z</dcterms:created>
  <dc:creator>openpyxl</dc:creator>
  <dc:description/>
  <dc:language>en-US</dc:language>
  <cp:lastModifiedBy>Thịnh Dương</cp:lastModifiedBy>
  <dcterms:modified xsi:type="dcterms:W3CDTF">2026-10-14T13:42:14Z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